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der Painting\Documents\Dutchess County Fairgrounds Livestock Hill Restroom Facility (Interrante)\"/>
    </mc:Choice>
  </mc:AlternateContent>
  <xr:revisionPtr revIDLastSave="0" documentId="13_ncr:1_{B1725C51-1897-4C21-8DA4-2933EECA50A9}" xr6:coauthVersionLast="47" xr6:coauthVersionMax="47" xr10:uidLastSave="{00000000-0000-0000-0000-000000000000}"/>
  <bookViews>
    <workbookView xWindow="0" yWindow="0" windowWidth="36615" windowHeight="21000" xr2:uid="{3CCBA901-53CF-4A13-99B5-304E13C4C0B2}"/>
  </bookViews>
  <sheets>
    <sheet name="New Finish Schedule Jan '26" sheetId="2" r:id="rId1"/>
    <sheet name="orig. price (old, see new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7" i="2" l="1"/>
  <c r="I43" i="2"/>
  <c r="I42" i="2"/>
  <c r="J38" i="2"/>
  <c r="G37" i="2"/>
  <c r="I37" i="2" s="1"/>
  <c r="J37" i="2" s="1"/>
  <c r="G36" i="2"/>
  <c r="I36" i="2" s="1"/>
  <c r="J36" i="2" s="1"/>
  <c r="I23" i="2"/>
  <c r="J23" i="2" s="1"/>
  <c r="I24" i="2"/>
  <c r="J24" i="2" s="1"/>
  <c r="I25" i="2"/>
  <c r="J25" i="2" s="1"/>
  <c r="I26" i="2"/>
  <c r="J26" i="2" s="1"/>
  <c r="I28" i="2"/>
  <c r="J28" i="2" s="1"/>
  <c r="I29" i="2"/>
  <c r="J29" i="2" s="1"/>
  <c r="I30" i="2"/>
  <c r="J30" i="2" s="1"/>
  <c r="I35" i="2"/>
  <c r="J35" i="2" s="1"/>
  <c r="G32" i="2"/>
  <c r="I32" i="2" s="1"/>
  <c r="J32" i="2" s="1"/>
  <c r="G33" i="2"/>
  <c r="I33" i="2" s="1"/>
  <c r="J33" i="2" s="1"/>
  <c r="G34" i="2"/>
  <c r="I34" i="2" s="1"/>
  <c r="J34" i="2" s="1"/>
  <c r="G35" i="2"/>
  <c r="G31" i="2"/>
  <c r="I31" i="2" s="1"/>
  <c r="J31" i="2" s="1"/>
  <c r="G22" i="2"/>
  <c r="I22" i="2" s="1"/>
  <c r="J22" i="2" s="1"/>
  <c r="G23" i="2"/>
  <c r="G24" i="2"/>
  <c r="G25" i="2"/>
  <c r="G26" i="2"/>
  <c r="G21" i="2"/>
  <c r="I21" i="2" s="1"/>
  <c r="J21" i="2" s="1"/>
  <c r="G28" i="2"/>
  <c r="G29" i="2"/>
  <c r="G30" i="2"/>
  <c r="G27" i="2"/>
  <c r="I27" i="2" s="1"/>
  <c r="J27" i="2" s="1"/>
  <c r="G20" i="2"/>
  <c r="I20" i="2" s="1"/>
  <c r="J20" i="2" s="1"/>
  <c r="E28" i="2"/>
  <c r="E29" i="2"/>
  <c r="E30" i="2"/>
  <c r="E27" i="2"/>
  <c r="E20" i="2"/>
  <c r="I38" i="2" l="1"/>
  <c r="J15" i="2"/>
  <c r="G14" i="2"/>
  <c r="I14" i="2" s="1"/>
  <c r="J14" i="2" s="1"/>
  <c r="I15" i="2"/>
  <c r="G3" i="2"/>
  <c r="I3" i="2" s="1"/>
  <c r="J3" i="2" s="1"/>
  <c r="G4" i="2"/>
  <c r="I4" i="2" s="1"/>
  <c r="J4" i="2" s="1"/>
  <c r="G9" i="2"/>
  <c r="I9" i="2" s="1"/>
  <c r="J9" i="2" s="1"/>
  <c r="G10" i="2"/>
  <c r="I10" i="2" s="1"/>
  <c r="J10" i="2" s="1"/>
  <c r="G11" i="2"/>
  <c r="I11" i="2" s="1"/>
  <c r="J11" i="2" s="1"/>
  <c r="G12" i="2"/>
  <c r="I12" i="2" s="1"/>
  <c r="J12" i="2" s="1"/>
  <c r="G13" i="2"/>
  <c r="I13" i="2" s="1"/>
  <c r="J13" i="2" s="1"/>
  <c r="G2" i="2"/>
  <c r="I2" i="2" s="1"/>
  <c r="J2" i="2" s="1"/>
  <c r="E6" i="2"/>
  <c r="G6" i="2" s="1"/>
  <c r="I6" i="2" s="1"/>
  <c r="J6" i="2" s="1"/>
  <c r="E7" i="2"/>
  <c r="G7" i="2" s="1"/>
  <c r="I7" i="2" s="1"/>
  <c r="J7" i="2" s="1"/>
  <c r="E8" i="2"/>
  <c r="G8" i="2" s="1"/>
  <c r="I8" i="2" s="1"/>
  <c r="J8" i="2" s="1"/>
  <c r="E5" i="2"/>
  <c r="G5" i="2" s="1"/>
  <c r="I5" i="2" s="1"/>
  <c r="J5" i="2" s="1"/>
  <c r="G13" i="1"/>
  <c r="I13" i="1" s="1"/>
  <c r="J13" i="1" s="1"/>
  <c r="G12" i="1"/>
  <c r="I12" i="1" s="1"/>
  <c r="J12" i="1" s="1"/>
  <c r="G4" i="1"/>
  <c r="I4" i="1" s="1"/>
  <c r="J4" i="1" s="1"/>
  <c r="G5" i="1"/>
  <c r="I5" i="1" s="1"/>
  <c r="J5" i="1" s="1"/>
  <c r="G6" i="1"/>
  <c r="I6" i="1" s="1"/>
  <c r="J6" i="1" s="1"/>
  <c r="G7" i="1"/>
  <c r="I7" i="1" s="1"/>
  <c r="J7" i="1" s="1"/>
  <c r="G8" i="1"/>
  <c r="I8" i="1" s="1"/>
  <c r="J8" i="1" s="1"/>
  <c r="G9" i="1"/>
  <c r="I9" i="1" s="1"/>
  <c r="J9" i="1" s="1"/>
  <c r="G3" i="1"/>
  <c r="I3" i="1" s="1"/>
  <c r="J3" i="1" s="1"/>
  <c r="G2" i="1"/>
  <c r="I2" i="1" s="1"/>
  <c r="J2" i="1" s="1"/>
  <c r="E4" i="1"/>
  <c r="E5" i="1"/>
  <c r="E6" i="1"/>
  <c r="E7" i="1"/>
  <c r="E8" i="1"/>
  <c r="E9" i="1"/>
  <c r="E10" i="1"/>
  <c r="G10" i="1" s="1"/>
  <c r="I10" i="1" s="1"/>
  <c r="J10" i="1" s="1"/>
  <c r="E11" i="1"/>
  <c r="G11" i="1" s="1"/>
  <c r="I11" i="1" s="1"/>
  <c r="J11" i="1" s="1"/>
  <c r="E3" i="1"/>
  <c r="J14" i="1" l="1"/>
</calcChain>
</file>

<file path=xl/sharedStrings.xml><?xml version="1.0" encoding="utf-8"?>
<sst xmlns="http://schemas.openxmlformats.org/spreadsheetml/2006/main" count="147" uniqueCount="69">
  <si>
    <t>Trim - Wood Base - Paint</t>
  </si>
  <si>
    <t>FT</t>
  </si>
  <si>
    <t>Gyp. Walls - Cupola - 9'-6"</t>
  </si>
  <si>
    <t>Gyp. Walls - 14'</t>
  </si>
  <si>
    <t>Gyp. Walls - 11'</t>
  </si>
  <si>
    <t>Gyp. Walls - 10.5'</t>
  </si>
  <si>
    <t>Gyp. Walls - 9'-6"</t>
  </si>
  <si>
    <t>Gyp. Walls - 9' Catalyzed Epoxy - 9'</t>
  </si>
  <si>
    <t>Gyp. Walls - 9'</t>
  </si>
  <si>
    <t>Gyp. Walls - 8' Catalyzed Epoxy - 8'-Copy</t>
  </si>
  <si>
    <t>Gyp. Walls - 8'</t>
  </si>
  <si>
    <t>Gyp. Ceilings - Paint</t>
  </si>
  <si>
    <t>SF</t>
  </si>
  <si>
    <t>Doors - HM/WD Frames HM/WD Panels (Paint)</t>
  </si>
  <si>
    <t>EA</t>
  </si>
  <si>
    <t>Qty</t>
  </si>
  <si>
    <t>Units</t>
  </si>
  <si>
    <t>Wall Height</t>
  </si>
  <si>
    <t>Wall Area</t>
  </si>
  <si>
    <t>Cost Each</t>
  </si>
  <si>
    <t>Cost Total</t>
  </si>
  <si>
    <t>Markup %</t>
  </si>
  <si>
    <t>Markup Total</t>
  </si>
  <si>
    <t>Price Total</t>
  </si>
  <si>
    <t>Livestock Hill Restroom Facility - Interior Painting</t>
  </si>
  <si>
    <t>Gyp. Walls - 8'-6"</t>
  </si>
  <si>
    <t>Gyp. Walls - 10'</t>
  </si>
  <si>
    <t>Gyp. Walls - 14'-6"</t>
  </si>
  <si>
    <t>Gyp. Walls (SF Area)</t>
  </si>
  <si>
    <t>Wainscot - SW 7636 - Meeting Room</t>
  </si>
  <si>
    <t>Wainscoting - Trim - Meeting Room</t>
  </si>
  <si>
    <t>Wainscot - SW 7636 - Office 113</t>
  </si>
  <si>
    <t>Wainscoting - Trim - Office 113</t>
  </si>
  <si>
    <t>LF</t>
  </si>
  <si>
    <t>Exterior Columns and Contingent Trims</t>
  </si>
  <si>
    <t>24' Elevator Shaft Walls</t>
  </si>
  <si>
    <t>Boral Ceilings (exterior)</t>
  </si>
  <si>
    <t>Exterior Columns</t>
  </si>
  <si>
    <t>Interior: </t>
  </si>
  <si>
    <t>27 Doors &amp; Frames (factory primed)</t>
  </si>
  <si>
    <t xml:space="preserve">Y </t>
  </si>
  <si>
    <t>Gathering Rm: gyp walls, 1x6 wd base, wainscot &amp; trim &amp; gyp ceiling.</t>
  </si>
  <si>
    <t>Y</t>
  </si>
  <si>
    <t>Bathroom: gyp walls, 1x6 wd base, gyp ceiling</t>
  </si>
  <si>
    <t>Closet: gyp walls, 1x6 wd base; gyp ceiling</t>
  </si>
  <si>
    <t>2nd</t>
  </si>
  <si>
    <t>2nd floor Halls x qty 2, walls, base, ceiling</t>
  </si>
  <si>
    <t xml:space="preserve">? </t>
  </si>
  <si>
    <t>1st/2nd</t>
  </si>
  <si>
    <t>Staircase walls &amp; ceilings 1st &amp; 2nd floors</t>
  </si>
  <si>
    <t>whole</t>
  </si>
  <si>
    <t>Elevator Shaft prime &amp; paint</t>
  </si>
  <si>
    <t xml:space="preserve">Office:  gyp upper walls, 1x6 wd base, sloped ceiling, </t>
  </si>
  <si>
    <t xml:space="preserve"> Y </t>
  </si>
  <si>
    <t>1st flr</t>
  </si>
  <si>
    <t>Hall outside Office 113</t>
  </si>
  <si>
    <t>?</t>
  </si>
  <si>
    <t>Exterior:</t>
  </si>
  <si>
    <t>Beams, Columns @ front porch &amp; Boral Ceilings @ 4 Vestibules</t>
  </si>
  <si>
    <t>Window - Casing Trim</t>
  </si>
  <si>
    <t>updated 1/29/2026</t>
  </si>
  <si>
    <t>remove 113 wainscoting from scope</t>
  </si>
  <si>
    <t>Faux Beams (3) Roughcut Pine 10x8:  SP201</t>
  </si>
  <si>
    <t>added 3 faux beams</t>
  </si>
  <si>
    <t>added lift door and frame</t>
  </si>
  <si>
    <t xml:space="preserve"> </t>
  </si>
  <si>
    <t>MARKUP FOR Ben Products</t>
  </si>
  <si>
    <t>S-W Products (Base price)</t>
  </si>
  <si>
    <t>-500 for Sherwin-Williams Primer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</si>
</sst>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2" tint="-0.249977111117893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strike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E6F8FE"/>
        <bgColor indexed="64"/>
      </patternFill>
    </fill>
    <fill>
      <patternFill patternType="solid">
        <fgColor rgb="FFBAFEBD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44" fontId="4" fillId="0" borderId="4" xfId="1" applyFont="1" applyBorder="1"/>
    <xf numFmtId="9" fontId="4" fillId="0" borderId="4" xfId="2" applyFont="1" applyBorder="1"/>
    <xf numFmtId="44" fontId="4" fillId="0" borderId="5" xfId="1" applyFont="1" applyBorder="1"/>
    <xf numFmtId="0" fontId="4" fillId="3" borderId="6" xfId="0" applyFont="1" applyFill="1" applyBorder="1"/>
    <xf numFmtId="0" fontId="4" fillId="3" borderId="7" xfId="0" applyFont="1" applyFill="1" applyBorder="1"/>
    <xf numFmtId="44" fontId="4" fillId="3" borderId="7" xfId="1" applyFont="1" applyFill="1" applyBorder="1"/>
    <xf numFmtId="9" fontId="4" fillId="3" borderId="7" xfId="2" applyFont="1" applyFill="1" applyBorder="1"/>
    <xf numFmtId="44" fontId="4" fillId="3" borderId="8" xfId="1" applyFont="1" applyFill="1" applyBorder="1"/>
    <xf numFmtId="0" fontId="4" fillId="0" borderId="6" xfId="0" applyFont="1" applyBorder="1"/>
    <xf numFmtId="0" fontId="4" fillId="0" borderId="7" xfId="0" applyFont="1" applyBorder="1"/>
    <xf numFmtId="44" fontId="4" fillId="0" borderId="7" xfId="1" applyFont="1" applyBorder="1"/>
    <xf numFmtId="9" fontId="4" fillId="0" borderId="7" xfId="2" applyFont="1" applyBorder="1"/>
    <xf numFmtId="44" fontId="4" fillId="0" borderId="8" xfId="1" applyFont="1" applyBorder="1"/>
    <xf numFmtId="44" fontId="2" fillId="4" borderId="9" xfId="1" applyFont="1" applyFill="1" applyBorder="1"/>
    <xf numFmtId="44" fontId="0" fillId="0" borderId="0" xfId="0" applyNumberFormat="1"/>
    <xf numFmtId="0" fontId="5" fillId="0" borderId="0" xfId="0" applyFont="1" applyAlignment="1">
      <alignment horizontal="left" vertical="center" indent="1"/>
    </xf>
    <xf numFmtId="0" fontId="6" fillId="5" borderId="10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44" fontId="9" fillId="0" borderId="4" xfId="1" applyFont="1" applyBorder="1"/>
    <xf numFmtId="9" fontId="9" fillId="0" borderId="4" xfId="2" applyFont="1" applyBorder="1"/>
    <xf numFmtId="44" fontId="9" fillId="0" borderId="5" xfId="1" applyFont="1" applyBorder="1"/>
    <xf numFmtId="0" fontId="9" fillId="3" borderId="6" xfId="0" applyFont="1" applyFill="1" applyBorder="1"/>
    <xf numFmtId="0" fontId="9" fillId="3" borderId="7" xfId="0" applyFont="1" applyFill="1" applyBorder="1"/>
    <xf numFmtId="44" fontId="9" fillId="3" borderId="7" xfId="1" applyFont="1" applyFill="1" applyBorder="1"/>
    <xf numFmtId="9" fontId="9" fillId="3" borderId="7" xfId="2" applyFont="1" applyFill="1" applyBorder="1"/>
    <xf numFmtId="44" fontId="9" fillId="3" borderId="8" xfId="1" applyFont="1" applyFill="1" applyBorder="1"/>
    <xf numFmtId="0" fontId="9" fillId="0" borderId="6" xfId="0" applyFont="1" applyBorder="1"/>
    <xf numFmtId="0" fontId="9" fillId="0" borderId="7" xfId="0" applyFont="1" applyBorder="1"/>
    <xf numFmtId="44" fontId="9" fillId="0" borderId="7" xfId="1" applyFont="1" applyBorder="1"/>
    <xf numFmtId="9" fontId="9" fillId="0" borderId="7" xfId="2" applyFont="1" applyBorder="1"/>
    <xf numFmtId="44" fontId="9" fillId="0" borderId="8" xfId="1" applyFont="1" applyBorder="1"/>
    <xf numFmtId="0" fontId="9" fillId="0" borderId="0" xfId="0" applyFont="1"/>
    <xf numFmtId="44" fontId="9" fillId="0" borderId="0" xfId="0" applyNumberFormat="1" applyFont="1"/>
    <xf numFmtId="44" fontId="10" fillId="4" borderId="9" xfId="1" applyFont="1" applyFill="1" applyBorder="1"/>
    <xf numFmtId="0" fontId="11" fillId="3" borderId="6" xfId="0" applyFont="1" applyFill="1" applyBorder="1"/>
    <xf numFmtId="0" fontId="11" fillId="3" borderId="7" xfId="0" applyFont="1" applyFill="1" applyBorder="1"/>
    <xf numFmtId="44" fontId="11" fillId="3" borderId="7" xfId="1" applyFont="1" applyFill="1" applyBorder="1"/>
    <xf numFmtId="9" fontId="11" fillId="3" borderId="7" xfId="2" applyFont="1" applyFill="1" applyBorder="1"/>
    <xf numFmtId="44" fontId="11" fillId="3" borderId="8" xfId="1" applyFont="1" applyFill="1" applyBorder="1"/>
    <xf numFmtId="0" fontId="11" fillId="0" borderId="6" xfId="0" applyFont="1" applyBorder="1"/>
    <xf numFmtId="0" fontId="11" fillId="0" borderId="7" xfId="0" applyFont="1" applyBorder="1"/>
    <xf numFmtId="44" fontId="11" fillId="0" borderId="7" xfId="1" applyFont="1" applyBorder="1"/>
    <xf numFmtId="9" fontId="11" fillId="0" borderId="7" xfId="2" applyFont="1" applyBorder="1"/>
    <xf numFmtId="44" fontId="11" fillId="0" borderId="8" xfId="1" applyFont="1" applyBorder="1"/>
    <xf numFmtId="9" fontId="0" fillId="0" borderId="0" xfId="2" applyFont="1"/>
    <xf numFmtId="164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350483</xdr:colOff>
      <xdr:row>0</xdr:row>
      <xdr:rowOff>123825</xdr:rowOff>
    </xdr:from>
    <xdr:to>
      <xdr:col>14</xdr:col>
      <xdr:colOff>552998</xdr:colOff>
      <xdr:row>12</xdr:row>
      <xdr:rowOff>133839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26480-843E-42B7-8325-AFED910C4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3583" y="123825"/>
          <a:ext cx="2640915" cy="23531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266700</xdr:colOff>
      <xdr:row>0</xdr:row>
      <xdr:rowOff>38100</xdr:rowOff>
    </xdr:from>
    <xdr:to>
      <xdr:col>16</xdr:col>
      <xdr:colOff>543474</xdr:colOff>
      <xdr:row>18</xdr:row>
      <xdr:rowOff>48114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F7CB6-44CC-CBB6-0AA6-9281C90C3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2550" y="38100"/>
          <a:ext cx="3934374" cy="3505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34E1-CA47-4E47-BFB2-D0104724F451}">
  <dimension ref="A1:U53"/>
  <sheetViews>
    <sheetView showGridLines="0" tabSelected="1" workbookViewId="0">
      <selection activeCell="S11" sqref="S11"/>
    </sheetView>
  </sheetViews>
  <sheetFormatPr defaultRowHeight="15" x14ac:dyDescent="0.25"/>
  <cols>
    <col min="1" max="1" width="57.28515625" bestFit="1" customWidth="1"/>
    <col min="7" max="7" width="10.5703125" bestFit="1" customWidth="1"/>
    <col min="9" max="9" width="10.5703125" bestFit="1" customWidth="1"/>
    <col min="10" max="10" width="11.5703125" bestFit="1" customWidth="1"/>
    <col min="19" max="19" width="8.140625" bestFit="1" customWidth="1"/>
    <col min="20" max="20" width="43.28515625" bestFit="1" customWidth="1"/>
    <col min="21" max="21" width="3.140625" bestFit="1" customWidth="1"/>
  </cols>
  <sheetData>
    <row r="1" spans="1:10" ht="19.5" thickBot="1" x14ac:dyDescent="0.35">
      <c r="A1" s="28" t="s">
        <v>24</v>
      </c>
      <c r="B1" s="29" t="s">
        <v>15</v>
      </c>
      <c r="C1" s="29" t="s">
        <v>16</v>
      </c>
      <c r="D1" s="29" t="s">
        <v>17</v>
      </c>
      <c r="E1" s="29" t="s">
        <v>18</v>
      </c>
      <c r="F1" s="29" t="s">
        <v>19</v>
      </c>
      <c r="G1" s="29" t="s">
        <v>20</v>
      </c>
      <c r="H1" s="29" t="s">
        <v>21</v>
      </c>
      <c r="I1" s="29" t="s">
        <v>22</v>
      </c>
      <c r="J1" s="29" t="s">
        <v>23</v>
      </c>
    </row>
    <row r="2" spans="1:10" x14ac:dyDescent="0.25">
      <c r="A2" s="30" t="s">
        <v>13</v>
      </c>
      <c r="B2" s="31">
        <v>27</v>
      </c>
      <c r="C2" s="31" t="s">
        <v>14</v>
      </c>
      <c r="D2" s="31"/>
      <c r="E2" s="31"/>
      <c r="F2" s="32">
        <v>190</v>
      </c>
      <c r="G2" s="32">
        <f>F2*B2</f>
        <v>5130</v>
      </c>
      <c r="H2" s="33">
        <v>0.08</v>
      </c>
      <c r="I2" s="32">
        <f>H2*G2</f>
        <v>410.40000000000003</v>
      </c>
      <c r="J2" s="34">
        <f>I2+G2</f>
        <v>5540.4</v>
      </c>
    </row>
    <row r="3" spans="1:10" x14ac:dyDescent="0.25">
      <c r="A3" s="35" t="s">
        <v>11</v>
      </c>
      <c r="B3" s="36">
        <v>1788.83</v>
      </c>
      <c r="C3" s="36" t="s">
        <v>12</v>
      </c>
      <c r="D3" s="36"/>
      <c r="E3" s="36"/>
      <c r="F3" s="37">
        <v>1.1000000000000001</v>
      </c>
      <c r="G3" s="37">
        <f t="shared" ref="G3:G14" si="0">F3*B3</f>
        <v>1967.713</v>
      </c>
      <c r="H3" s="38">
        <v>0.08</v>
      </c>
      <c r="I3" s="37">
        <f t="shared" ref="I3:I13" si="1">H3*G3</f>
        <v>157.41704000000001</v>
      </c>
      <c r="J3" s="39">
        <f t="shared" ref="J3:J13" si="2">I3+G3</f>
        <v>2125.13004</v>
      </c>
    </row>
    <row r="4" spans="1:10" x14ac:dyDescent="0.25">
      <c r="A4" s="40" t="s">
        <v>28</v>
      </c>
      <c r="B4" s="41">
        <v>690.77</v>
      </c>
      <c r="C4" s="41" t="s">
        <v>12</v>
      </c>
      <c r="D4" s="41"/>
      <c r="E4" s="41"/>
      <c r="F4" s="42">
        <v>1.1000000000000001</v>
      </c>
      <c r="G4" s="42">
        <f t="shared" si="0"/>
        <v>759.84700000000009</v>
      </c>
      <c r="H4" s="43">
        <v>0.08</v>
      </c>
      <c r="I4" s="42">
        <f t="shared" si="1"/>
        <v>60.787760000000006</v>
      </c>
      <c r="J4" s="44">
        <f t="shared" si="2"/>
        <v>820.63476000000014</v>
      </c>
    </row>
    <row r="5" spans="1:10" x14ac:dyDescent="0.25">
      <c r="A5" s="35" t="s">
        <v>25</v>
      </c>
      <c r="B5" s="36">
        <v>46.02</v>
      </c>
      <c r="C5" s="36" t="s">
        <v>1</v>
      </c>
      <c r="D5" s="36">
        <v>8.5</v>
      </c>
      <c r="E5" s="36">
        <f>D5*B5</f>
        <v>391.17</v>
      </c>
      <c r="F5" s="37">
        <v>1.1000000000000001</v>
      </c>
      <c r="G5" s="37">
        <f>F5*E5</f>
        <v>430.28700000000003</v>
      </c>
      <c r="H5" s="38">
        <v>0.08</v>
      </c>
      <c r="I5" s="37">
        <f t="shared" si="1"/>
        <v>34.422960000000003</v>
      </c>
      <c r="J5" s="39">
        <f t="shared" si="2"/>
        <v>464.70996000000002</v>
      </c>
    </row>
    <row r="6" spans="1:10" x14ac:dyDescent="0.25">
      <c r="A6" s="40" t="s">
        <v>8</v>
      </c>
      <c r="B6" s="41">
        <v>86.35</v>
      </c>
      <c r="C6" s="41" t="s">
        <v>1</v>
      </c>
      <c r="D6" s="41">
        <v>9</v>
      </c>
      <c r="E6" s="41">
        <f t="shared" ref="E6:E8" si="3">D6*B6</f>
        <v>777.15</v>
      </c>
      <c r="F6" s="42">
        <v>1.1000000000000001</v>
      </c>
      <c r="G6" s="42">
        <f t="shared" ref="G6:G8" si="4">F6*E6</f>
        <v>854.86500000000001</v>
      </c>
      <c r="H6" s="43">
        <v>0.08</v>
      </c>
      <c r="I6" s="42">
        <f t="shared" si="1"/>
        <v>68.389200000000002</v>
      </c>
      <c r="J6" s="44">
        <f t="shared" si="2"/>
        <v>923.25419999999997</v>
      </c>
    </row>
    <row r="7" spans="1:10" x14ac:dyDescent="0.25">
      <c r="A7" s="35" t="s">
        <v>26</v>
      </c>
      <c r="B7" s="36">
        <v>65.25</v>
      </c>
      <c r="C7" s="36" t="s">
        <v>1</v>
      </c>
      <c r="D7" s="36">
        <v>10</v>
      </c>
      <c r="E7" s="36">
        <f t="shared" si="3"/>
        <v>652.5</v>
      </c>
      <c r="F7" s="37">
        <v>1.1000000000000001</v>
      </c>
      <c r="G7" s="37">
        <f t="shared" si="4"/>
        <v>717.75000000000011</v>
      </c>
      <c r="H7" s="38">
        <v>0.08</v>
      </c>
      <c r="I7" s="37">
        <f t="shared" si="1"/>
        <v>57.420000000000009</v>
      </c>
      <c r="J7" s="39">
        <f t="shared" si="2"/>
        <v>775.17000000000007</v>
      </c>
    </row>
    <row r="8" spans="1:10" x14ac:dyDescent="0.25">
      <c r="A8" s="40" t="s">
        <v>27</v>
      </c>
      <c r="B8" s="41">
        <v>35.97</v>
      </c>
      <c r="C8" s="41" t="s">
        <v>1</v>
      </c>
      <c r="D8" s="41">
        <v>14.5</v>
      </c>
      <c r="E8" s="41">
        <f t="shared" si="3"/>
        <v>521.56499999999994</v>
      </c>
      <c r="F8" s="42">
        <v>1.1000000000000001</v>
      </c>
      <c r="G8" s="42">
        <f t="shared" si="4"/>
        <v>573.72149999999999</v>
      </c>
      <c r="H8" s="43">
        <v>0.08</v>
      </c>
      <c r="I8" s="42">
        <f t="shared" si="1"/>
        <v>45.89772</v>
      </c>
      <c r="J8" s="44">
        <f t="shared" si="2"/>
        <v>619.61922000000004</v>
      </c>
    </row>
    <row r="9" spans="1:10" x14ac:dyDescent="0.25">
      <c r="A9" s="35" t="s">
        <v>0</v>
      </c>
      <c r="B9" s="36">
        <v>233.59</v>
      </c>
      <c r="C9" s="36" t="s">
        <v>1</v>
      </c>
      <c r="D9" s="36"/>
      <c r="E9" s="36"/>
      <c r="F9" s="37">
        <v>3</v>
      </c>
      <c r="G9" s="37">
        <f t="shared" si="0"/>
        <v>700.77</v>
      </c>
      <c r="H9" s="38">
        <v>0.08</v>
      </c>
      <c r="I9" s="37">
        <f t="shared" si="1"/>
        <v>56.061599999999999</v>
      </c>
      <c r="J9" s="39">
        <f t="shared" si="2"/>
        <v>756.83159999999998</v>
      </c>
    </row>
    <row r="10" spans="1:10" x14ac:dyDescent="0.25">
      <c r="A10" s="40" t="s">
        <v>29</v>
      </c>
      <c r="B10" s="41">
        <v>291.42</v>
      </c>
      <c r="C10" s="41" t="s">
        <v>12</v>
      </c>
      <c r="D10" s="41"/>
      <c r="E10" s="41"/>
      <c r="F10" s="42">
        <v>2</v>
      </c>
      <c r="G10" s="42">
        <f t="shared" si="0"/>
        <v>582.84</v>
      </c>
      <c r="H10" s="43">
        <v>0.08</v>
      </c>
      <c r="I10" s="42">
        <f t="shared" si="1"/>
        <v>46.627200000000002</v>
      </c>
      <c r="J10" s="44">
        <f t="shared" si="2"/>
        <v>629.46720000000005</v>
      </c>
    </row>
    <row r="11" spans="1:10" x14ac:dyDescent="0.25">
      <c r="A11" s="35" t="s">
        <v>30</v>
      </c>
      <c r="B11" s="36">
        <v>338.72</v>
      </c>
      <c r="C11" s="36" t="s">
        <v>1</v>
      </c>
      <c r="D11" s="36"/>
      <c r="E11" s="36"/>
      <c r="F11" s="37">
        <v>3</v>
      </c>
      <c r="G11" s="37">
        <f t="shared" si="0"/>
        <v>1016.1600000000001</v>
      </c>
      <c r="H11" s="38">
        <v>0.08</v>
      </c>
      <c r="I11" s="37">
        <f t="shared" si="1"/>
        <v>81.292800000000014</v>
      </c>
      <c r="J11" s="39">
        <f t="shared" si="2"/>
        <v>1097.4528</v>
      </c>
    </row>
    <row r="12" spans="1:10" x14ac:dyDescent="0.25">
      <c r="A12" s="40" t="s">
        <v>31</v>
      </c>
      <c r="B12" s="41">
        <v>206</v>
      </c>
      <c r="C12" s="41" t="s">
        <v>12</v>
      </c>
      <c r="D12" s="41"/>
      <c r="E12" s="41"/>
      <c r="F12" s="42">
        <v>2</v>
      </c>
      <c r="G12" s="42">
        <f t="shared" si="0"/>
        <v>412</v>
      </c>
      <c r="H12" s="43">
        <v>0.08</v>
      </c>
      <c r="I12" s="42">
        <f t="shared" si="1"/>
        <v>32.96</v>
      </c>
      <c r="J12" s="44">
        <f t="shared" si="2"/>
        <v>444.96</v>
      </c>
    </row>
    <row r="13" spans="1:10" x14ac:dyDescent="0.25">
      <c r="A13" s="35" t="s">
        <v>32</v>
      </c>
      <c r="B13" s="36">
        <v>240</v>
      </c>
      <c r="C13" s="36" t="s">
        <v>33</v>
      </c>
      <c r="D13" s="36"/>
      <c r="E13" s="36"/>
      <c r="F13" s="37">
        <v>3</v>
      </c>
      <c r="G13" s="37">
        <f t="shared" si="0"/>
        <v>720</v>
      </c>
      <c r="H13" s="38">
        <v>0.08</v>
      </c>
      <c r="I13" s="37">
        <f t="shared" si="1"/>
        <v>57.6</v>
      </c>
      <c r="J13" s="39">
        <f t="shared" si="2"/>
        <v>777.6</v>
      </c>
    </row>
    <row r="14" spans="1:10" x14ac:dyDescent="0.25">
      <c r="A14" s="40" t="s">
        <v>34</v>
      </c>
      <c r="B14" s="41">
        <v>5</v>
      </c>
      <c r="C14" s="41"/>
      <c r="D14" s="41"/>
      <c r="E14" s="41"/>
      <c r="F14" s="42">
        <v>150</v>
      </c>
      <c r="G14" s="42">
        <f t="shared" si="0"/>
        <v>750</v>
      </c>
      <c r="H14" s="43">
        <v>0.08</v>
      </c>
      <c r="I14" s="42">
        <f t="shared" ref="I14" si="5">H14*G14</f>
        <v>60</v>
      </c>
      <c r="J14" s="44">
        <f t="shared" ref="J14" si="6">I14+G14</f>
        <v>810</v>
      </c>
    </row>
    <row r="15" spans="1:10" ht="15.75" thickBot="1" x14ac:dyDescent="0.3">
      <c r="A15" s="45"/>
      <c r="B15" s="45"/>
      <c r="C15" s="45"/>
      <c r="D15" s="45"/>
      <c r="E15" s="45"/>
      <c r="F15" s="45"/>
      <c r="G15" s="45"/>
      <c r="H15" s="45"/>
      <c r="I15" s="46">
        <f>J15/B3</f>
        <v>8.8243319823571831</v>
      </c>
      <c r="J15" s="47">
        <f>SUM(J2:J14)</f>
        <v>15785.22978</v>
      </c>
    </row>
    <row r="18" spans="1:11" ht="15.75" thickBot="1" x14ac:dyDescent="0.3">
      <c r="A18" t="s">
        <v>60</v>
      </c>
    </row>
    <row r="19" spans="1:11" ht="19.5" thickBot="1" x14ac:dyDescent="0.35">
      <c r="A19" s="1" t="s">
        <v>24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21</v>
      </c>
      <c r="I19" s="2" t="s">
        <v>22</v>
      </c>
      <c r="J19" s="2" t="s">
        <v>23</v>
      </c>
    </row>
    <row r="20" spans="1:11" x14ac:dyDescent="0.25">
      <c r="A20" s="3" t="s">
        <v>35</v>
      </c>
      <c r="B20" s="4">
        <v>23.26</v>
      </c>
      <c r="C20" s="4" t="s">
        <v>1</v>
      </c>
      <c r="D20" s="4">
        <v>24</v>
      </c>
      <c r="E20" s="4">
        <f>D20*B20</f>
        <v>558.24</v>
      </c>
      <c r="F20" s="5">
        <v>3</v>
      </c>
      <c r="G20" s="5">
        <f>F20*E20</f>
        <v>1674.72</v>
      </c>
      <c r="H20" s="6">
        <v>0.08</v>
      </c>
      <c r="I20" s="5">
        <f>H20*G20</f>
        <v>133.9776</v>
      </c>
      <c r="J20" s="7">
        <f>I20+G20</f>
        <v>1808.6976</v>
      </c>
    </row>
    <row r="21" spans="1:11" x14ac:dyDescent="0.25">
      <c r="A21" s="8" t="s">
        <v>36</v>
      </c>
      <c r="B21" s="9">
        <v>382.65</v>
      </c>
      <c r="C21" s="9" t="s">
        <v>12</v>
      </c>
      <c r="D21" s="9"/>
      <c r="E21" s="9"/>
      <c r="F21" s="10">
        <v>2.65</v>
      </c>
      <c r="G21" s="10">
        <f>F21*B21</f>
        <v>1014.0224999999999</v>
      </c>
      <c r="H21" s="11">
        <v>0.08</v>
      </c>
      <c r="I21" s="10">
        <f t="shared" ref="I21:I35" si="7">H21*G21</f>
        <v>81.121799999999993</v>
      </c>
      <c r="J21" s="12">
        <f t="shared" ref="J21:J35" si="8">I21+G21</f>
        <v>1095.1442999999999</v>
      </c>
    </row>
    <row r="22" spans="1:11" x14ac:dyDescent="0.25">
      <c r="A22" s="13" t="s">
        <v>13</v>
      </c>
      <c r="B22" s="14">
        <v>28</v>
      </c>
      <c r="C22" s="14" t="s">
        <v>14</v>
      </c>
      <c r="D22" s="14"/>
      <c r="E22" s="14"/>
      <c r="F22" s="15">
        <v>190</v>
      </c>
      <c r="G22" s="15">
        <f t="shared" ref="G22:G26" si="9">F22*B22</f>
        <v>5320</v>
      </c>
      <c r="H22" s="16">
        <v>0.08</v>
      </c>
      <c r="I22" s="15">
        <f t="shared" si="7"/>
        <v>425.6</v>
      </c>
      <c r="J22" s="17">
        <f t="shared" si="8"/>
        <v>5745.6</v>
      </c>
      <c r="K22" t="s">
        <v>64</v>
      </c>
    </row>
    <row r="23" spans="1:11" x14ac:dyDescent="0.25">
      <c r="A23" s="8" t="s">
        <v>37</v>
      </c>
      <c r="B23" s="9">
        <v>5</v>
      </c>
      <c r="C23" s="9" t="s">
        <v>14</v>
      </c>
      <c r="D23" s="9"/>
      <c r="E23" s="9"/>
      <c r="F23" s="10">
        <v>150</v>
      </c>
      <c r="G23" s="10">
        <f t="shared" si="9"/>
        <v>750</v>
      </c>
      <c r="H23" s="11">
        <v>0.08</v>
      </c>
      <c r="I23" s="10">
        <f t="shared" si="7"/>
        <v>60</v>
      </c>
      <c r="J23" s="12">
        <f t="shared" si="8"/>
        <v>810</v>
      </c>
      <c r="K23" t="s">
        <v>65</v>
      </c>
    </row>
    <row r="24" spans="1:11" x14ac:dyDescent="0.25">
      <c r="A24" s="13"/>
      <c r="B24" s="14"/>
      <c r="C24" s="14"/>
      <c r="D24" s="14"/>
      <c r="E24" s="14"/>
      <c r="F24" s="15"/>
      <c r="G24" s="15">
        <f t="shared" si="9"/>
        <v>0</v>
      </c>
      <c r="H24" s="16">
        <v>0.08</v>
      </c>
      <c r="I24" s="15">
        <f t="shared" si="7"/>
        <v>0</v>
      </c>
      <c r="J24" s="17">
        <f t="shared" si="8"/>
        <v>0</v>
      </c>
    </row>
    <row r="25" spans="1:11" x14ac:dyDescent="0.25">
      <c r="A25" s="8" t="s">
        <v>11</v>
      </c>
      <c r="B25" s="9">
        <v>2060.63</v>
      </c>
      <c r="C25" s="9" t="s">
        <v>12</v>
      </c>
      <c r="D25" s="9"/>
      <c r="E25" s="9"/>
      <c r="F25" s="10">
        <v>1.1000000000000001</v>
      </c>
      <c r="G25" s="10">
        <f t="shared" si="9"/>
        <v>2266.6930000000002</v>
      </c>
      <c r="H25" s="11">
        <v>0.08</v>
      </c>
      <c r="I25" s="10">
        <f t="shared" si="7"/>
        <v>181.33544000000003</v>
      </c>
      <c r="J25" s="12">
        <f t="shared" si="8"/>
        <v>2448.02844</v>
      </c>
    </row>
    <row r="26" spans="1:11" x14ac:dyDescent="0.25">
      <c r="A26" s="13" t="s">
        <v>28</v>
      </c>
      <c r="B26" s="14">
        <v>690.77</v>
      </c>
      <c r="C26" s="14" t="s">
        <v>12</v>
      </c>
      <c r="D26" s="14"/>
      <c r="E26" s="14"/>
      <c r="F26" s="15">
        <v>1.1000000000000001</v>
      </c>
      <c r="G26" s="15">
        <f t="shared" si="9"/>
        <v>759.84700000000009</v>
      </c>
      <c r="H26" s="16">
        <v>0.08</v>
      </c>
      <c r="I26" s="15">
        <f t="shared" si="7"/>
        <v>60.787760000000006</v>
      </c>
      <c r="J26" s="17">
        <f t="shared" si="8"/>
        <v>820.63476000000014</v>
      </c>
    </row>
    <row r="27" spans="1:11" x14ac:dyDescent="0.25">
      <c r="A27" s="8" t="s">
        <v>25</v>
      </c>
      <c r="B27" s="9">
        <v>46.02</v>
      </c>
      <c r="C27" s="9" t="s">
        <v>1</v>
      </c>
      <c r="D27" s="9">
        <v>8.5</v>
      </c>
      <c r="E27" s="9">
        <f>D27*B27</f>
        <v>391.17</v>
      </c>
      <c r="F27" s="10">
        <v>1.1000000000000001</v>
      </c>
      <c r="G27" s="10">
        <f>F27*E27</f>
        <v>430.28700000000003</v>
      </c>
      <c r="H27" s="11">
        <v>0.08</v>
      </c>
      <c r="I27" s="10">
        <f t="shared" si="7"/>
        <v>34.422960000000003</v>
      </c>
      <c r="J27" s="12">
        <f t="shared" si="8"/>
        <v>464.70996000000002</v>
      </c>
    </row>
    <row r="28" spans="1:11" x14ac:dyDescent="0.25">
      <c r="A28" s="13" t="s">
        <v>8</v>
      </c>
      <c r="B28" s="14">
        <v>251.76</v>
      </c>
      <c r="C28" s="14" t="s">
        <v>1</v>
      </c>
      <c r="D28" s="14">
        <v>9</v>
      </c>
      <c r="E28" s="14">
        <f t="shared" ref="E28:E30" si="10">D28*B28</f>
        <v>2265.84</v>
      </c>
      <c r="F28" s="15">
        <v>1.1000000000000001</v>
      </c>
      <c r="G28" s="15">
        <f t="shared" ref="G28:G30" si="11">F28*E28</f>
        <v>2492.4240000000004</v>
      </c>
      <c r="H28" s="16">
        <v>0.08</v>
      </c>
      <c r="I28" s="15">
        <f t="shared" si="7"/>
        <v>199.39392000000004</v>
      </c>
      <c r="J28" s="17">
        <f t="shared" si="8"/>
        <v>2691.8179200000004</v>
      </c>
    </row>
    <row r="29" spans="1:11" x14ac:dyDescent="0.25">
      <c r="A29" s="8" t="s">
        <v>26</v>
      </c>
      <c r="B29" s="9">
        <v>65.25</v>
      </c>
      <c r="C29" s="9" t="s">
        <v>1</v>
      </c>
      <c r="D29" s="9">
        <v>10</v>
      </c>
      <c r="E29" s="9">
        <f t="shared" si="10"/>
        <v>652.5</v>
      </c>
      <c r="F29" s="10">
        <v>1.1000000000000001</v>
      </c>
      <c r="G29" s="10">
        <f t="shared" si="11"/>
        <v>717.75000000000011</v>
      </c>
      <c r="H29" s="11">
        <v>0.08</v>
      </c>
      <c r="I29" s="10">
        <f t="shared" si="7"/>
        <v>57.420000000000009</v>
      </c>
      <c r="J29" s="12">
        <f t="shared" si="8"/>
        <v>775.17000000000007</v>
      </c>
    </row>
    <row r="30" spans="1:11" x14ac:dyDescent="0.25">
      <c r="A30" s="13" t="s">
        <v>27</v>
      </c>
      <c r="B30" s="14">
        <v>35.97</v>
      </c>
      <c r="C30" s="14" t="s">
        <v>1</v>
      </c>
      <c r="D30" s="14">
        <v>14.5</v>
      </c>
      <c r="E30" s="14">
        <f t="shared" si="10"/>
        <v>521.56499999999994</v>
      </c>
      <c r="F30" s="15">
        <v>1.1000000000000001</v>
      </c>
      <c r="G30" s="15">
        <f t="shared" si="11"/>
        <v>573.72149999999999</v>
      </c>
      <c r="H30" s="16">
        <v>0.08</v>
      </c>
      <c r="I30" s="15">
        <f t="shared" si="7"/>
        <v>45.89772</v>
      </c>
      <c r="J30" s="17">
        <f t="shared" si="8"/>
        <v>619.61922000000004</v>
      </c>
    </row>
    <row r="31" spans="1:11" x14ac:dyDescent="0.25">
      <c r="A31" s="8" t="s">
        <v>29</v>
      </c>
      <c r="B31" s="9">
        <v>291.42</v>
      </c>
      <c r="C31" s="9" t="s">
        <v>12</v>
      </c>
      <c r="D31" s="9"/>
      <c r="E31" s="9"/>
      <c r="F31" s="10">
        <v>2</v>
      </c>
      <c r="G31" s="10">
        <f>F31*B31</f>
        <v>582.84</v>
      </c>
      <c r="H31" s="11">
        <v>0.08</v>
      </c>
      <c r="I31" s="10">
        <f t="shared" si="7"/>
        <v>46.627200000000002</v>
      </c>
      <c r="J31" s="12">
        <f t="shared" si="8"/>
        <v>629.46720000000005</v>
      </c>
    </row>
    <row r="32" spans="1:11" x14ac:dyDescent="0.25">
      <c r="A32" s="13" t="s">
        <v>30</v>
      </c>
      <c r="B32" s="14">
        <v>338.72</v>
      </c>
      <c r="C32" s="14" t="s">
        <v>1</v>
      </c>
      <c r="D32" s="14"/>
      <c r="E32" s="14"/>
      <c r="F32" s="15">
        <v>3</v>
      </c>
      <c r="G32" s="15">
        <f t="shared" ref="G32:G35" si="12">F32*B32</f>
        <v>1016.1600000000001</v>
      </c>
      <c r="H32" s="16">
        <v>0.08</v>
      </c>
      <c r="I32" s="15">
        <f t="shared" si="7"/>
        <v>81.292800000000014</v>
      </c>
      <c r="J32" s="17">
        <f t="shared" si="8"/>
        <v>1097.4528</v>
      </c>
    </row>
    <row r="33" spans="1:21" x14ac:dyDescent="0.25">
      <c r="A33" s="48" t="s">
        <v>31</v>
      </c>
      <c r="B33" s="49">
        <v>206</v>
      </c>
      <c r="C33" s="49" t="s">
        <v>12</v>
      </c>
      <c r="D33" s="49"/>
      <c r="E33" s="49"/>
      <c r="F33" s="50">
        <v>0</v>
      </c>
      <c r="G33" s="50">
        <f t="shared" si="12"/>
        <v>0</v>
      </c>
      <c r="H33" s="51">
        <v>0.08</v>
      </c>
      <c r="I33" s="50">
        <f t="shared" si="7"/>
        <v>0</v>
      </c>
      <c r="J33" s="52">
        <f t="shared" si="8"/>
        <v>0</v>
      </c>
      <c r="K33" t="s">
        <v>61</v>
      </c>
    </row>
    <row r="34" spans="1:21" x14ac:dyDescent="0.25">
      <c r="A34" s="53" t="s">
        <v>32</v>
      </c>
      <c r="B34" s="54">
        <v>240</v>
      </c>
      <c r="C34" s="54" t="s">
        <v>33</v>
      </c>
      <c r="D34" s="54"/>
      <c r="E34" s="54"/>
      <c r="F34" s="55">
        <v>0</v>
      </c>
      <c r="G34" s="55">
        <f t="shared" si="12"/>
        <v>0</v>
      </c>
      <c r="H34" s="56">
        <v>0.08</v>
      </c>
      <c r="I34" s="55">
        <f t="shared" si="7"/>
        <v>0</v>
      </c>
      <c r="J34" s="57">
        <f t="shared" si="8"/>
        <v>0</v>
      </c>
    </row>
    <row r="35" spans="1:21" x14ac:dyDescent="0.25">
      <c r="A35" s="8" t="s">
        <v>0</v>
      </c>
      <c r="B35" s="9">
        <v>390.91</v>
      </c>
      <c r="C35" s="9" t="s">
        <v>1</v>
      </c>
      <c r="D35" s="9"/>
      <c r="E35" s="9"/>
      <c r="F35" s="10">
        <v>3</v>
      </c>
      <c r="G35" s="10">
        <f t="shared" si="12"/>
        <v>1172.73</v>
      </c>
      <c r="H35" s="11">
        <v>0.08</v>
      </c>
      <c r="I35" s="10">
        <f t="shared" si="7"/>
        <v>93.818399999999997</v>
      </c>
      <c r="J35" s="12">
        <f t="shared" si="8"/>
        <v>1266.5484000000001</v>
      </c>
    </row>
    <row r="36" spans="1:21" x14ac:dyDescent="0.25">
      <c r="A36" s="13" t="s">
        <v>59</v>
      </c>
      <c r="B36" s="14">
        <v>25</v>
      </c>
      <c r="C36" s="14" t="s">
        <v>14</v>
      </c>
      <c r="D36" s="14"/>
      <c r="E36" s="14"/>
      <c r="F36" s="15">
        <v>65</v>
      </c>
      <c r="G36" s="15">
        <f t="shared" ref="G36:G37" si="13">F36*B36</f>
        <v>1625</v>
      </c>
      <c r="H36" s="16">
        <v>0.08</v>
      </c>
      <c r="I36" s="15">
        <f t="shared" ref="I36:I37" si="14">H36*G36</f>
        <v>130</v>
      </c>
      <c r="J36" s="17">
        <f t="shared" ref="J36:J37" si="15">I36+G36</f>
        <v>1755</v>
      </c>
    </row>
    <row r="37" spans="1:21" x14ac:dyDescent="0.25">
      <c r="A37" s="8" t="s">
        <v>62</v>
      </c>
      <c r="B37" s="9">
        <v>87.26</v>
      </c>
      <c r="C37" s="9" t="s">
        <v>1</v>
      </c>
      <c r="D37" s="9"/>
      <c r="E37" s="9"/>
      <c r="F37" s="10">
        <v>7.75</v>
      </c>
      <c r="G37" s="10">
        <f t="shared" si="13"/>
        <v>676.26499999999999</v>
      </c>
      <c r="H37" s="11">
        <v>0.08</v>
      </c>
      <c r="I37" s="10">
        <f t="shared" si="14"/>
        <v>54.101199999999999</v>
      </c>
      <c r="J37" s="12">
        <f t="shared" si="15"/>
        <v>730.36619999999994</v>
      </c>
      <c r="K37" t="s">
        <v>63</v>
      </c>
    </row>
    <row r="38" spans="1:21" ht="15.75" thickBot="1" x14ac:dyDescent="0.3">
      <c r="I38" s="19">
        <f>J38/B25</f>
        <v>11.044319843931223</v>
      </c>
      <c r="J38" s="18">
        <f>SUM(J20:J37)</f>
        <v>22758.256799999999</v>
      </c>
    </row>
    <row r="40" spans="1:21" ht="15.75" x14ac:dyDescent="0.25">
      <c r="S40" s="20"/>
    </row>
    <row r="41" spans="1:21" ht="16.5" thickBot="1" x14ac:dyDescent="0.3">
      <c r="S41" s="20"/>
    </row>
    <row r="42" spans="1:21" ht="15.75" thickBot="1" x14ac:dyDescent="0.3">
      <c r="I42" s="19">
        <f>J42*J38</f>
        <v>2958.5733839999998</v>
      </c>
      <c r="J42" s="58">
        <v>0.13</v>
      </c>
      <c r="K42" t="s">
        <v>67</v>
      </c>
      <c r="S42" s="21" t="s">
        <v>38</v>
      </c>
      <c r="T42" s="22"/>
      <c r="U42" s="23"/>
    </row>
    <row r="43" spans="1:21" ht="15.75" thickBot="1" x14ac:dyDescent="0.3">
      <c r="I43" s="19">
        <f>J43*J38</f>
        <v>2253.0674232000001</v>
      </c>
      <c r="J43" s="59">
        <v>9.9000000000000005E-2</v>
      </c>
      <c r="K43" t="s">
        <v>66</v>
      </c>
      <c r="S43" s="24"/>
      <c r="T43" s="25" t="s">
        <v>39</v>
      </c>
      <c r="U43" s="23" t="s">
        <v>40</v>
      </c>
    </row>
    <row r="44" spans="1:21" ht="30.75" thickBot="1" x14ac:dyDescent="0.3">
      <c r="S44" s="26">
        <v>201</v>
      </c>
      <c r="T44" s="25" t="s">
        <v>41</v>
      </c>
      <c r="U44" s="23" t="s">
        <v>42</v>
      </c>
    </row>
    <row r="45" spans="1:21" ht="15.75" thickBot="1" x14ac:dyDescent="0.3">
      <c r="I45" t="s">
        <v>68</v>
      </c>
      <c r="S45" s="26">
        <v>202</v>
      </c>
      <c r="T45" s="25" t="s">
        <v>43</v>
      </c>
      <c r="U45" s="23" t="s">
        <v>42</v>
      </c>
    </row>
    <row r="46" spans="1:21" ht="15.75" thickBot="1" x14ac:dyDescent="0.3">
      <c r="S46" s="26">
        <v>203</v>
      </c>
      <c r="T46" s="25" t="s">
        <v>44</v>
      </c>
      <c r="U46" s="23" t="s">
        <v>40</v>
      </c>
    </row>
    <row r="47" spans="1:21" ht="19.5" thickBot="1" x14ac:dyDescent="0.3">
      <c r="I47" s="19">
        <f>I43-500</f>
        <v>1753.0674232000001</v>
      </c>
      <c r="S47" s="26" t="s">
        <v>45</v>
      </c>
      <c r="T47" s="25" t="s">
        <v>46</v>
      </c>
      <c r="U47" s="27" t="s">
        <v>47</v>
      </c>
    </row>
    <row r="48" spans="1:21" ht="19.5" thickBot="1" x14ac:dyDescent="0.3">
      <c r="S48" s="26" t="s">
        <v>48</v>
      </c>
      <c r="T48" s="25" t="s">
        <v>49</v>
      </c>
      <c r="U48" s="27" t="s">
        <v>47</v>
      </c>
    </row>
    <row r="49" spans="19:21" ht="15.75" thickBot="1" x14ac:dyDescent="0.3">
      <c r="S49" s="26" t="s">
        <v>50</v>
      </c>
      <c r="T49" s="25" t="s">
        <v>51</v>
      </c>
      <c r="U49" s="23" t="s">
        <v>47</v>
      </c>
    </row>
    <row r="50" spans="19:21" ht="30.75" thickBot="1" x14ac:dyDescent="0.3">
      <c r="S50" s="26">
        <v>113</v>
      </c>
      <c r="T50" s="25" t="s">
        <v>52</v>
      </c>
      <c r="U50" s="23" t="s">
        <v>53</v>
      </c>
    </row>
    <row r="51" spans="19:21" ht="19.5" thickBot="1" x14ac:dyDescent="0.3">
      <c r="S51" s="26" t="s">
        <v>54</v>
      </c>
      <c r="T51" s="25" t="s">
        <v>55</v>
      </c>
      <c r="U51" s="27" t="s">
        <v>56</v>
      </c>
    </row>
    <row r="52" spans="19:21" ht="15.75" thickBot="1" x14ac:dyDescent="0.3">
      <c r="S52" s="26"/>
      <c r="T52" s="25"/>
      <c r="U52" s="23"/>
    </row>
    <row r="53" spans="19:21" ht="30.75" thickBot="1" x14ac:dyDescent="0.3">
      <c r="S53" s="26" t="s">
        <v>57</v>
      </c>
      <c r="T53" s="25" t="s">
        <v>58</v>
      </c>
      <c r="U53" s="27" t="s">
        <v>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6C36-0AB3-4E73-9D20-8ED3E4F16C53}">
  <dimension ref="A1:J14"/>
  <sheetViews>
    <sheetView workbookViewId="0">
      <selection activeCell="I21" sqref="I21"/>
    </sheetView>
  </sheetViews>
  <sheetFormatPr defaultRowHeight="15" x14ac:dyDescent="0.25"/>
  <cols>
    <col min="1" max="1" width="55.140625" bestFit="1" customWidth="1"/>
    <col min="2" max="2" width="8.140625" bestFit="1" customWidth="1"/>
    <col min="3" max="3" width="3.140625" bestFit="1" customWidth="1"/>
    <col min="4" max="4" width="5" bestFit="1" customWidth="1"/>
    <col min="7" max="7" width="10.5703125" bestFit="1" customWidth="1"/>
    <col min="10" max="10" width="12" bestFit="1" customWidth="1"/>
  </cols>
  <sheetData>
    <row r="1" spans="1:10" ht="19.5" thickBot="1" x14ac:dyDescent="0.35">
      <c r="A1" s="1" t="s">
        <v>24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x14ac:dyDescent="0.25">
      <c r="A2" s="3" t="s">
        <v>0</v>
      </c>
      <c r="B2" s="4">
        <v>333.97</v>
      </c>
      <c r="C2" s="4" t="s">
        <v>1</v>
      </c>
      <c r="D2" s="4"/>
      <c r="E2" s="4"/>
      <c r="F2" s="5">
        <v>3</v>
      </c>
      <c r="G2" s="5">
        <f>F2*B2</f>
        <v>1001.9100000000001</v>
      </c>
      <c r="H2" s="6">
        <v>0.08</v>
      </c>
      <c r="I2" s="5">
        <f>H2*G2</f>
        <v>80.152800000000013</v>
      </c>
      <c r="J2" s="7">
        <f>I2+G2</f>
        <v>1082.0628000000002</v>
      </c>
    </row>
    <row r="3" spans="1:10" x14ac:dyDescent="0.25">
      <c r="A3" s="8" t="s">
        <v>2</v>
      </c>
      <c r="B3" s="9">
        <v>60.35</v>
      </c>
      <c r="C3" s="9" t="s">
        <v>1</v>
      </c>
      <c r="D3" s="9">
        <v>9.5</v>
      </c>
      <c r="E3" s="9">
        <f>D3*B3</f>
        <v>573.32500000000005</v>
      </c>
      <c r="F3" s="10">
        <v>0.9</v>
      </c>
      <c r="G3" s="10">
        <f>F3*E3</f>
        <v>515.99250000000006</v>
      </c>
      <c r="H3" s="11">
        <v>0.08</v>
      </c>
      <c r="I3" s="10">
        <f t="shared" ref="I3:I13" si="0">H3*G3</f>
        <v>41.279400000000003</v>
      </c>
      <c r="J3" s="12">
        <f t="shared" ref="J3:J13" si="1">I3+G3</f>
        <v>557.27190000000007</v>
      </c>
    </row>
    <row r="4" spans="1:10" x14ac:dyDescent="0.25">
      <c r="A4" s="13" t="s">
        <v>3</v>
      </c>
      <c r="B4" s="14">
        <v>35.89</v>
      </c>
      <c r="C4" s="14" t="s">
        <v>1</v>
      </c>
      <c r="D4" s="14">
        <v>14</v>
      </c>
      <c r="E4" s="14">
        <f t="shared" ref="E4:E11" si="2">D4*B4</f>
        <v>502.46000000000004</v>
      </c>
      <c r="F4" s="15">
        <v>0.9</v>
      </c>
      <c r="G4" s="15">
        <f t="shared" ref="G4:G11" si="3">F4*E4</f>
        <v>452.21400000000006</v>
      </c>
      <c r="H4" s="16">
        <v>0.08</v>
      </c>
      <c r="I4" s="15">
        <f t="shared" si="0"/>
        <v>36.177120000000002</v>
      </c>
      <c r="J4" s="17">
        <f t="shared" si="1"/>
        <v>488.39112000000006</v>
      </c>
    </row>
    <row r="5" spans="1:10" x14ac:dyDescent="0.25">
      <c r="A5" s="8" t="s">
        <v>4</v>
      </c>
      <c r="B5" s="9">
        <v>116.16</v>
      </c>
      <c r="C5" s="9" t="s">
        <v>1</v>
      </c>
      <c r="D5" s="9">
        <v>11.5</v>
      </c>
      <c r="E5" s="9">
        <f t="shared" si="2"/>
        <v>1335.84</v>
      </c>
      <c r="F5" s="10">
        <v>0.9</v>
      </c>
      <c r="G5" s="10">
        <f t="shared" si="3"/>
        <v>1202.2559999999999</v>
      </c>
      <c r="H5" s="11">
        <v>0.08</v>
      </c>
      <c r="I5" s="10">
        <f t="shared" si="0"/>
        <v>96.180479999999989</v>
      </c>
      <c r="J5" s="12">
        <f t="shared" si="1"/>
        <v>1298.4364799999998</v>
      </c>
    </row>
    <row r="6" spans="1:10" x14ac:dyDescent="0.25">
      <c r="A6" s="13" t="s">
        <v>5</v>
      </c>
      <c r="B6" s="14">
        <v>57.82</v>
      </c>
      <c r="C6" s="14" t="s">
        <v>1</v>
      </c>
      <c r="D6" s="14">
        <v>10.5</v>
      </c>
      <c r="E6" s="14">
        <f t="shared" si="2"/>
        <v>607.11</v>
      </c>
      <c r="F6" s="15">
        <v>0.9</v>
      </c>
      <c r="G6" s="15">
        <f t="shared" si="3"/>
        <v>546.399</v>
      </c>
      <c r="H6" s="16">
        <v>0.08</v>
      </c>
      <c r="I6" s="15">
        <f t="shared" si="0"/>
        <v>43.711919999999999</v>
      </c>
      <c r="J6" s="17">
        <f t="shared" si="1"/>
        <v>590.11091999999996</v>
      </c>
    </row>
    <row r="7" spans="1:10" x14ac:dyDescent="0.25">
      <c r="A7" s="8" t="s">
        <v>6</v>
      </c>
      <c r="B7" s="9">
        <v>149.79</v>
      </c>
      <c r="C7" s="9" t="s">
        <v>1</v>
      </c>
      <c r="D7" s="9">
        <v>9.5</v>
      </c>
      <c r="E7" s="9">
        <f t="shared" si="2"/>
        <v>1423.0049999999999</v>
      </c>
      <c r="F7" s="10">
        <v>0.9</v>
      </c>
      <c r="G7" s="10">
        <f t="shared" si="3"/>
        <v>1280.7044999999998</v>
      </c>
      <c r="H7" s="11">
        <v>0.08</v>
      </c>
      <c r="I7" s="10">
        <f t="shared" si="0"/>
        <v>102.45635999999999</v>
      </c>
      <c r="J7" s="12">
        <f t="shared" si="1"/>
        <v>1383.1608599999997</v>
      </c>
    </row>
    <row r="8" spans="1:10" x14ac:dyDescent="0.25">
      <c r="A8" s="13" t="s">
        <v>7</v>
      </c>
      <c r="B8" s="14">
        <v>25.92</v>
      </c>
      <c r="C8" s="14" t="s">
        <v>1</v>
      </c>
      <c r="D8" s="14">
        <v>9.5</v>
      </c>
      <c r="E8" s="14">
        <f t="shared" si="2"/>
        <v>246.24</v>
      </c>
      <c r="F8" s="15">
        <v>1.6</v>
      </c>
      <c r="G8" s="15">
        <f t="shared" si="3"/>
        <v>393.98400000000004</v>
      </c>
      <c r="H8" s="16">
        <v>0.08</v>
      </c>
      <c r="I8" s="15">
        <f t="shared" si="0"/>
        <v>31.518720000000005</v>
      </c>
      <c r="J8" s="17">
        <f t="shared" si="1"/>
        <v>425.50272000000007</v>
      </c>
    </row>
    <row r="9" spans="1:10" x14ac:dyDescent="0.25">
      <c r="A9" s="8" t="s">
        <v>8</v>
      </c>
      <c r="B9" s="9">
        <v>162.33000000000001</v>
      </c>
      <c r="C9" s="9" t="s">
        <v>1</v>
      </c>
      <c r="D9" s="9">
        <v>9</v>
      </c>
      <c r="E9" s="9">
        <f t="shared" si="2"/>
        <v>1460.97</v>
      </c>
      <c r="F9" s="10">
        <v>0.9</v>
      </c>
      <c r="G9" s="10">
        <f t="shared" si="3"/>
        <v>1314.873</v>
      </c>
      <c r="H9" s="11">
        <v>0.08</v>
      </c>
      <c r="I9" s="10">
        <f t="shared" si="0"/>
        <v>105.18984</v>
      </c>
      <c r="J9" s="12">
        <f t="shared" si="1"/>
        <v>1420.0628400000001</v>
      </c>
    </row>
    <row r="10" spans="1:10" x14ac:dyDescent="0.25">
      <c r="A10" s="13" t="s">
        <v>9</v>
      </c>
      <c r="B10" s="14">
        <v>510.58</v>
      </c>
      <c r="C10" s="14" t="s">
        <v>1</v>
      </c>
      <c r="D10" s="14">
        <v>8.5</v>
      </c>
      <c r="E10" s="14">
        <f t="shared" si="2"/>
        <v>4339.93</v>
      </c>
      <c r="F10" s="15">
        <v>1.6</v>
      </c>
      <c r="G10" s="15">
        <f t="shared" si="3"/>
        <v>6943.8880000000008</v>
      </c>
      <c r="H10" s="16">
        <v>0.08</v>
      </c>
      <c r="I10" s="15">
        <f t="shared" si="0"/>
        <v>555.51104000000009</v>
      </c>
      <c r="J10" s="17">
        <f t="shared" si="1"/>
        <v>7499.3990400000012</v>
      </c>
    </row>
    <row r="11" spans="1:10" x14ac:dyDescent="0.25">
      <c r="A11" s="8" t="s">
        <v>10</v>
      </c>
      <c r="B11" s="9">
        <v>131.97</v>
      </c>
      <c r="C11" s="9" t="s">
        <v>1</v>
      </c>
      <c r="D11" s="9">
        <v>8</v>
      </c>
      <c r="E11" s="9">
        <f t="shared" si="2"/>
        <v>1055.76</v>
      </c>
      <c r="F11" s="10">
        <v>0.9</v>
      </c>
      <c r="G11" s="10">
        <f t="shared" si="3"/>
        <v>950.18399999999997</v>
      </c>
      <c r="H11" s="11">
        <v>0.08</v>
      </c>
      <c r="I11" s="10">
        <f t="shared" si="0"/>
        <v>76.014719999999997</v>
      </c>
      <c r="J11" s="12">
        <f t="shared" si="1"/>
        <v>1026.1987199999999</v>
      </c>
    </row>
    <row r="12" spans="1:10" x14ac:dyDescent="0.25">
      <c r="A12" s="13" t="s">
        <v>11</v>
      </c>
      <c r="B12" s="14">
        <v>2157.63</v>
      </c>
      <c r="C12" s="14" t="s">
        <v>12</v>
      </c>
      <c r="D12" s="14"/>
      <c r="E12" s="14"/>
      <c r="F12" s="15">
        <v>0.9</v>
      </c>
      <c r="G12" s="15">
        <f>F12*B12</f>
        <v>1941.8670000000002</v>
      </c>
      <c r="H12" s="16">
        <v>0.08</v>
      </c>
      <c r="I12" s="15">
        <f t="shared" si="0"/>
        <v>155.34936000000002</v>
      </c>
      <c r="J12" s="17">
        <f t="shared" si="1"/>
        <v>2097.2163600000003</v>
      </c>
    </row>
    <row r="13" spans="1:10" x14ac:dyDescent="0.25">
      <c r="A13" s="8" t="s">
        <v>13</v>
      </c>
      <c r="B13" s="9">
        <v>27</v>
      </c>
      <c r="C13" s="9" t="s">
        <v>14</v>
      </c>
      <c r="D13" s="9"/>
      <c r="E13" s="9"/>
      <c r="F13" s="10">
        <v>190</v>
      </c>
      <c r="G13" s="10">
        <f>F13*B13</f>
        <v>5130</v>
      </c>
      <c r="H13" s="11">
        <v>0.08</v>
      </c>
      <c r="I13" s="10">
        <f t="shared" si="0"/>
        <v>410.40000000000003</v>
      </c>
      <c r="J13" s="12">
        <f t="shared" si="1"/>
        <v>5540.4</v>
      </c>
    </row>
    <row r="14" spans="1:10" ht="15.75" thickBot="1" x14ac:dyDescent="0.3">
      <c r="J14" s="18">
        <f>SUM(J2:J13)</f>
        <v>23408.213760000006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Finish Schedule Jan '26</vt:lpstr>
      <vt:lpstr>orig. price (old, see new)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Winkler | Rider Painting</dc:creator>
  <cp:lastModifiedBy>Will Winkler | Rider Painting</cp:lastModifiedBy>
  <dcterms:created xsi:type="dcterms:W3CDTF">2025-07-18T16:24:21Z</dcterms:created>
  <dcterms:modified xsi:type="dcterms:W3CDTF">2026-02-09T18:49:04Z</dcterms:modified>
</cp:coreProperties>
</file>