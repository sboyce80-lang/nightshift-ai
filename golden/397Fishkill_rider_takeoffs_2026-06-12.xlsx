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er Painting\Documents\397 Fishkill Ave Multi-Use (Beacon, NY)\397 Fishkill\"/>
    </mc:Choice>
  </mc:AlternateContent>
  <xr:revisionPtr revIDLastSave="0" documentId="13_ncr:1_{31010BAB-E2BC-4C3D-90FF-B157FDA3EB24}" xr6:coauthVersionLast="47" xr6:coauthVersionMax="47" xr10:uidLastSave="{00000000-0000-0000-0000-000000000000}"/>
  <bookViews>
    <workbookView xWindow="28680" yWindow="-120" windowWidth="29040" windowHeight="15840" xr2:uid="{E7317498-A7BE-4E31-B836-487B41BACC6F}"/>
  </bookViews>
  <sheets>
    <sheet name="Bid Pricing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2" l="1"/>
  <c r="N19" i="2"/>
  <c r="N18" i="2"/>
  <c r="F23" i="2" l="1"/>
  <c r="G23" i="2" s="1"/>
  <c r="I23" i="2" s="1"/>
  <c r="J23" i="2" s="1"/>
  <c r="F22" i="2"/>
  <c r="G22" i="2" s="1"/>
  <c r="I22" i="2" s="1"/>
  <c r="J22" i="2" s="1"/>
  <c r="F21" i="2"/>
  <c r="G21" i="2" s="1"/>
  <c r="I21" i="2" s="1"/>
  <c r="J21" i="2" s="1"/>
  <c r="F20" i="2"/>
  <c r="G20" i="2" s="1"/>
  <c r="I20" i="2" s="1"/>
  <c r="J20" i="2" s="1"/>
  <c r="F19" i="2"/>
  <c r="G19" i="2" s="1"/>
  <c r="I19" i="2" s="1"/>
  <c r="J19" i="2" s="1"/>
  <c r="F18" i="2"/>
  <c r="G18" i="2" s="1"/>
  <c r="I18" i="2" s="1"/>
  <c r="J18" i="2" s="1"/>
  <c r="F17" i="2"/>
  <c r="G17" i="2" s="1"/>
  <c r="I17" i="2" s="1"/>
  <c r="J17" i="2" s="1"/>
  <c r="F16" i="2"/>
  <c r="G16" i="2" s="1"/>
  <c r="I16" i="2" s="1"/>
  <c r="J16" i="2" s="1"/>
  <c r="F7" i="2"/>
  <c r="G7" i="2" s="1"/>
  <c r="I7" i="2" s="1"/>
  <c r="J7" i="2" s="1"/>
  <c r="F6" i="2"/>
  <c r="G6" i="2" s="1"/>
  <c r="I6" i="2" s="1"/>
  <c r="J6" i="2" s="1"/>
  <c r="F5" i="2"/>
  <c r="G5" i="2" s="1"/>
  <c r="I5" i="2" s="1"/>
  <c r="J5" i="2" s="1"/>
  <c r="F4" i="2"/>
  <c r="G4" i="2" s="1"/>
  <c r="I4" i="2" s="1"/>
  <c r="J4" i="2" s="1"/>
  <c r="F3" i="2"/>
  <c r="G3" i="2" s="1"/>
  <c r="I3" i="2" s="1"/>
  <c r="J3" i="2" s="1"/>
  <c r="F2" i="2"/>
  <c r="G2" i="2" s="1"/>
  <c r="I2" i="2" s="1"/>
  <c r="J2" i="2" s="1"/>
  <c r="I8" i="2" s="1"/>
  <c r="F31" i="2"/>
  <c r="G31" i="2" s="1"/>
  <c r="I31" i="2" s="1"/>
  <c r="J31" i="2" s="1"/>
  <c r="F30" i="2"/>
  <c r="G30" i="2" s="1"/>
  <c r="I30" i="2" s="1"/>
  <c r="J30" i="2" s="1"/>
  <c r="F29" i="2"/>
  <c r="G29" i="2" s="1"/>
  <c r="I29" i="2" s="1"/>
  <c r="J29" i="2" s="1"/>
  <c r="F28" i="2"/>
  <c r="G28" i="2" s="1"/>
  <c r="I28" i="2" s="1"/>
  <c r="J28" i="2" s="1"/>
  <c r="F27" i="2"/>
  <c r="G27" i="2" s="1"/>
  <c r="I27" i="2" s="1"/>
  <c r="J27" i="2" s="1"/>
  <c r="F26" i="2"/>
  <c r="G26" i="2" s="1"/>
  <c r="I26" i="2" s="1"/>
  <c r="J26" i="2" s="1"/>
  <c r="F25" i="2"/>
  <c r="G25" i="2" s="1"/>
  <c r="I25" i="2" s="1"/>
  <c r="J25" i="2" s="1"/>
  <c r="F24" i="2"/>
  <c r="G24" i="2" s="1"/>
  <c r="I24" i="2" s="1"/>
  <c r="J24" i="2" s="1"/>
  <c r="F15" i="2"/>
  <c r="G15" i="2" s="1"/>
  <c r="I15" i="2" s="1"/>
  <c r="J15" i="2" s="1"/>
  <c r="F14" i="2"/>
  <c r="G14" i="2" s="1"/>
  <c r="I14" i="2" s="1"/>
  <c r="J14" i="2" s="1"/>
  <c r="I32" i="2" l="1"/>
  <c r="J32" i="2" s="1"/>
  <c r="J6" i="1"/>
  <c r="I5" i="1"/>
  <c r="J5" i="1" s="1"/>
  <c r="I6" i="1"/>
  <c r="I10" i="1"/>
  <c r="J10" i="1" s="1"/>
  <c r="I12" i="1"/>
  <c r="J12" i="1" s="1"/>
  <c r="I19" i="1"/>
  <c r="J19" i="1" s="1"/>
  <c r="I21" i="1"/>
  <c r="J21" i="1" s="1"/>
  <c r="I23" i="1"/>
  <c r="J23" i="1" s="1"/>
  <c r="G19" i="1"/>
  <c r="G21" i="1"/>
  <c r="G23" i="1"/>
  <c r="G26" i="1"/>
  <c r="I26" i="1" s="1"/>
  <c r="J26" i="1" s="1"/>
  <c r="G16" i="1"/>
  <c r="I16" i="1" s="1"/>
  <c r="J16" i="1" s="1"/>
  <c r="G12" i="1"/>
  <c r="G15" i="1"/>
  <c r="I15" i="1" s="1"/>
  <c r="J15" i="1" s="1"/>
  <c r="G10" i="1"/>
  <c r="G4" i="1"/>
  <c r="I4" i="1" s="1"/>
  <c r="J4" i="1" s="1"/>
  <c r="G5" i="1"/>
  <c r="G6" i="1"/>
  <c r="F26" i="1"/>
  <c r="F25" i="1"/>
  <c r="G25" i="1" s="1"/>
  <c r="I25" i="1" s="1"/>
  <c r="J25" i="1" s="1"/>
  <c r="F24" i="1"/>
  <c r="G24" i="1" s="1"/>
  <c r="I24" i="1" s="1"/>
  <c r="J24" i="1" s="1"/>
  <c r="F23" i="1"/>
  <c r="F22" i="1"/>
  <c r="G22" i="1" s="1"/>
  <c r="I22" i="1" s="1"/>
  <c r="J22" i="1" s="1"/>
  <c r="F21" i="1"/>
  <c r="F20" i="1"/>
  <c r="G20" i="1" s="1"/>
  <c r="I20" i="1" s="1"/>
  <c r="J20" i="1" s="1"/>
  <c r="F19" i="1"/>
  <c r="F18" i="1"/>
  <c r="G18" i="1" s="1"/>
  <c r="I18" i="1" s="1"/>
  <c r="J18" i="1" s="1"/>
  <c r="F17" i="1"/>
  <c r="G17" i="1" s="1"/>
  <c r="I17" i="1" s="1"/>
  <c r="J17" i="1" s="1"/>
  <c r="F16" i="1"/>
  <c r="F15" i="1"/>
  <c r="F14" i="1"/>
  <c r="G14" i="1" s="1"/>
  <c r="I14" i="1" s="1"/>
  <c r="J14" i="1" s="1"/>
  <c r="F13" i="1"/>
  <c r="G13" i="1" s="1"/>
  <c r="I13" i="1" s="1"/>
  <c r="J13" i="1" s="1"/>
  <c r="F12" i="1"/>
  <c r="F11" i="1"/>
  <c r="G11" i="1" s="1"/>
  <c r="I11" i="1" s="1"/>
  <c r="J11" i="1" s="1"/>
  <c r="F10" i="1"/>
  <c r="F6" i="1"/>
  <c r="F5" i="1"/>
  <c r="F4" i="1"/>
  <c r="F3" i="1"/>
  <c r="G3" i="1" s="1"/>
  <c r="I3" i="1" s="1"/>
  <c r="J3" i="1" s="1"/>
  <c r="F2" i="1"/>
  <c r="G2" i="1" s="1"/>
  <c r="I2" i="1" s="1"/>
  <c r="J2" i="1" s="1"/>
  <c r="E10" i="1"/>
  <c r="E15" i="1"/>
  <c r="J27" i="1" l="1"/>
  <c r="K27" i="1" s="1"/>
  <c r="J7" i="1"/>
  <c r="O13" i="1" s="1"/>
</calcChain>
</file>

<file path=xl/sharedStrings.xml><?xml version="1.0" encoding="utf-8"?>
<sst xmlns="http://schemas.openxmlformats.org/spreadsheetml/2006/main" count="141" uniqueCount="64">
  <si>
    <t>Ext. Azek Trim</t>
  </si>
  <si>
    <t>FT</t>
  </si>
  <si>
    <t>Ext Azek Corner Board</t>
  </si>
  <si>
    <t>ext steel exposed lintel</t>
  </si>
  <si>
    <t>ext painted hardie siding</t>
  </si>
  <si>
    <t>SQ FT</t>
  </si>
  <si>
    <t>lift rental</t>
  </si>
  <si>
    <t>EA</t>
  </si>
  <si>
    <t>1st fl gyp walls 10.08</t>
  </si>
  <si>
    <t>stair 2 walls 21.33</t>
  </si>
  <si>
    <t>stair 1 walls 43.5</t>
  </si>
  <si>
    <t>typical bathroom wall covering (x2)</t>
  </si>
  <si>
    <t>gyp walls</t>
  </si>
  <si>
    <t>wall covering</t>
  </si>
  <si>
    <t>stained vertical oak panels</t>
  </si>
  <si>
    <t>1st floor ceiling</t>
  </si>
  <si>
    <t>1st fl doors</t>
  </si>
  <si>
    <t>stair 1 ceiling</t>
  </si>
  <si>
    <t>stair 2 ceiling</t>
  </si>
  <si>
    <t>footprint</t>
  </si>
  <si>
    <t>Exterior</t>
  </si>
  <si>
    <t>3rd floor walls 9.58</t>
  </si>
  <si>
    <t>2nd floor walls 9.58</t>
  </si>
  <si>
    <t>2nd floor ceiling</t>
  </si>
  <si>
    <t>2nd floor doors</t>
  </si>
  <si>
    <t>3rd floor doors</t>
  </si>
  <si>
    <t>Interior</t>
  </si>
  <si>
    <t>azek trim</t>
  </si>
  <si>
    <t>corner board</t>
  </si>
  <si>
    <t>lintel</t>
  </si>
  <si>
    <t>siding</t>
  </si>
  <si>
    <t>gyp</t>
  </si>
  <si>
    <t>3rd floor ceiling</t>
  </si>
  <si>
    <t>doors</t>
  </si>
  <si>
    <t>stained oak</t>
  </si>
  <si>
    <t>Job Total</t>
  </si>
  <si>
    <t>Qty</t>
  </si>
  <si>
    <t>Units</t>
  </si>
  <si>
    <t>Wall Height</t>
  </si>
  <si>
    <t>Wall Area</t>
  </si>
  <si>
    <t>Cost Each</t>
  </si>
  <si>
    <t>Cost Total</t>
  </si>
  <si>
    <t>Markup %</t>
  </si>
  <si>
    <t>Markup Total</t>
  </si>
  <si>
    <t>Price Total</t>
  </si>
  <si>
    <t>Exterior - Hardie Siding - Painted Pearly Grey</t>
  </si>
  <si>
    <t>Stair Structure Sections</t>
  </si>
  <si>
    <t>397 Fishkill - Exterior Painting</t>
  </si>
  <si>
    <t>397 Fishkill - Interior Painting</t>
  </si>
  <si>
    <t>Gyp.</t>
  </si>
  <si>
    <t>Prime VWC</t>
  </si>
  <si>
    <t>Stained Vertical Oak Panels</t>
  </si>
  <si>
    <t>Stair Structure</t>
  </si>
  <si>
    <t>Doors</t>
  </si>
  <si>
    <t>INTERIOR</t>
  </si>
  <si>
    <t>EXTERIOR</t>
  </si>
  <si>
    <t>Azek Trim</t>
  </si>
  <si>
    <t>Azek Corner Board</t>
  </si>
  <si>
    <t>Steel Exposed Lintel</t>
  </si>
  <si>
    <t>Painted Hardie Siding</t>
  </si>
  <si>
    <t>Lift Rental</t>
  </si>
  <si>
    <t>/sf</t>
  </si>
  <si>
    <t>Interior:</t>
  </si>
  <si>
    <t>Exterior: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</si>
</sst>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6F8FE"/>
        <bgColor indexed="64"/>
      </patternFill>
    </fill>
    <fill>
      <patternFill patternType="solid">
        <fgColor rgb="FF599AD5"/>
        <bgColor indexed="64"/>
      </patternFill>
    </fill>
    <fill>
      <patternFill patternType="solid">
        <fgColor rgb="FFE1FFEB"/>
        <bgColor indexed="64"/>
      </patternFill>
    </fill>
    <fill>
      <patternFill patternType="solid">
        <fgColor rgb="FFBAFEBD"/>
        <bgColor indexed="64"/>
      </patternFill>
    </fill>
    <fill>
      <patternFill patternType="solid">
        <fgColor rgb="FF9BC2E6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9" fontId="0" fillId="0" borderId="0" xfId="2" applyFont="1"/>
    <xf numFmtId="9" fontId="0" fillId="0" borderId="0" xfId="2" applyFont="1" applyFill="1"/>
    <xf numFmtId="44" fontId="0" fillId="0" borderId="0" xfId="0" applyNumberFormat="1" applyFill="1"/>
    <xf numFmtId="0" fontId="0" fillId="0" borderId="0" xfId="0" applyFill="1"/>
    <xf numFmtId="0" fontId="0" fillId="17" borderId="5" xfId="0" applyFill="1" applyBorder="1"/>
    <xf numFmtId="0" fontId="0" fillId="17" borderId="6" xfId="0" applyFill="1" applyBorder="1"/>
    <xf numFmtId="44" fontId="0" fillId="17" borderId="6" xfId="0" applyNumberFormat="1" applyFill="1" applyBorder="1"/>
    <xf numFmtId="9" fontId="0" fillId="17" borderId="6" xfId="2" applyFont="1" applyFill="1" applyBorder="1"/>
    <xf numFmtId="44" fontId="0" fillId="17" borderId="7" xfId="0" applyNumberFormat="1" applyFill="1" applyBorder="1"/>
    <xf numFmtId="0" fontId="0" fillId="17" borderId="8" xfId="0" applyFill="1" applyBorder="1"/>
    <xf numFmtId="0" fontId="0" fillId="17" borderId="0" xfId="0" applyFill="1" applyBorder="1"/>
    <xf numFmtId="44" fontId="0" fillId="17" borderId="0" xfId="0" applyNumberFormat="1" applyFill="1" applyBorder="1"/>
    <xf numFmtId="9" fontId="0" fillId="17" borderId="0" xfId="2" applyFont="1" applyFill="1" applyBorder="1"/>
    <xf numFmtId="44" fontId="0" fillId="17" borderId="9" xfId="0" applyNumberFormat="1" applyFill="1" applyBorder="1"/>
    <xf numFmtId="0" fontId="0" fillId="17" borderId="10" xfId="0" applyFill="1" applyBorder="1"/>
    <xf numFmtId="0" fontId="0" fillId="17" borderId="11" xfId="0" applyFill="1" applyBorder="1"/>
    <xf numFmtId="44" fontId="0" fillId="17" borderId="11" xfId="0" applyNumberFormat="1" applyFill="1" applyBorder="1"/>
    <xf numFmtId="9" fontId="0" fillId="17" borderId="11" xfId="2" applyFont="1" applyFill="1" applyBorder="1"/>
    <xf numFmtId="44" fontId="0" fillId="17" borderId="12" xfId="0" applyNumberFormat="1" applyFill="1" applyBorder="1"/>
    <xf numFmtId="44" fontId="0" fillId="18" borderId="1" xfId="0" applyNumberFormat="1" applyFill="1" applyBorder="1"/>
    <xf numFmtId="44" fontId="0" fillId="19" borderId="1" xfId="0" applyNumberFormat="1" applyFill="1" applyBorder="1"/>
    <xf numFmtId="0" fontId="3" fillId="17" borderId="5" xfId="0" applyFont="1" applyFill="1" applyBorder="1"/>
    <xf numFmtId="44" fontId="3" fillId="17" borderId="7" xfId="1" applyFont="1" applyFill="1" applyBorder="1"/>
    <xf numFmtId="0" fontId="3" fillId="17" borderId="8" xfId="0" applyFont="1" applyFill="1" applyBorder="1"/>
    <xf numFmtId="44" fontId="3" fillId="17" borderId="9" xfId="1" applyFont="1" applyFill="1" applyBorder="1"/>
    <xf numFmtId="0" fontId="3" fillId="17" borderId="10" xfId="0" applyFont="1" applyFill="1" applyBorder="1"/>
    <xf numFmtId="0" fontId="3" fillId="17" borderId="12" xfId="0" applyFont="1" applyFill="1" applyBorder="1"/>
    <xf numFmtId="0" fontId="4" fillId="18" borderId="2" xfId="0" applyFont="1" applyFill="1" applyBorder="1" applyAlignment="1">
      <alignment horizontal="center"/>
    </xf>
    <xf numFmtId="44" fontId="5" fillId="18" borderId="4" xfId="0" applyNumberFormat="1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2" fillId="16" borderId="4" xfId="0" applyFont="1" applyFill="1" applyBorder="1" applyAlignment="1">
      <alignment horizontal="center"/>
    </xf>
    <xf numFmtId="0" fontId="0" fillId="20" borderId="0" xfId="0" applyFill="1"/>
    <xf numFmtId="0" fontId="5" fillId="21" borderId="13" xfId="0" applyFont="1" applyFill="1" applyBorder="1" applyAlignment="1">
      <alignment horizontal="center"/>
    </xf>
    <xf numFmtId="0" fontId="0" fillId="21" borderId="14" xfId="0" applyFill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/>
    <xf numFmtId="44" fontId="3" fillId="0" borderId="16" xfId="1" applyFont="1" applyBorder="1"/>
    <xf numFmtId="9" fontId="3" fillId="0" borderId="16" xfId="2" applyFont="1" applyBorder="1"/>
    <xf numFmtId="44" fontId="3" fillId="0" borderId="17" xfId="1" applyFont="1" applyBorder="1"/>
    <xf numFmtId="0" fontId="3" fillId="22" borderId="18" xfId="0" applyFont="1" applyFill="1" applyBorder="1"/>
    <xf numFmtId="0" fontId="3" fillId="22" borderId="19" xfId="0" applyFont="1" applyFill="1" applyBorder="1"/>
    <xf numFmtId="44" fontId="3" fillId="22" borderId="19" xfId="1" applyFont="1" applyFill="1" applyBorder="1"/>
    <xf numFmtId="9" fontId="3" fillId="22" borderId="19" xfId="2" applyFont="1" applyFill="1" applyBorder="1"/>
    <xf numFmtId="44" fontId="3" fillId="22" borderId="20" xfId="1" applyFont="1" applyFill="1" applyBorder="1"/>
    <xf numFmtId="0" fontId="3" fillId="0" borderId="18" xfId="0" applyFont="1" applyBorder="1"/>
    <xf numFmtId="0" fontId="3" fillId="0" borderId="19" xfId="0" applyFont="1" applyBorder="1"/>
    <xf numFmtId="44" fontId="3" fillId="0" borderId="19" xfId="1" applyFont="1" applyBorder="1"/>
    <xf numFmtId="9" fontId="3" fillId="0" borderId="19" xfId="2" applyFont="1" applyBorder="1"/>
    <xf numFmtId="44" fontId="3" fillId="0" borderId="20" xfId="1" applyFont="1" applyBorder="1"/>
    <xf numFmtId="0" fontId="3" fillId="22" borderId="21" xfId="0" applyFont="1" applyFill="1" applyBorder="1"/>
    <xf numFmtId="0" fontId="3" fillId="22" borderId="22" xfId="0" applyFont="1" applyFill="1" applyBorder="1"/>
    <xf numFmtId="44" fontId="3" fillId="22" borderId="22" xfId="1" applyFont="1" applyFill="1" applyBorder="1"/>
    <xf numFmtId="9" fontId="3" fillId="22" borderId="22" xfId="2" applyFont="1" applyFill="1" applyBorder="1"/>
    <xf numFmtId="44" fontId="3" fillId="22" borderId="23" xfId="1" applyFont="1" applyFill="1" applyBorder="1"/>
    <xf numFmtId="0" fontId="3" fillId="23" borderId="10" xfId="0" applyFont="1" applyFill="1" applyBorder="1"/>
    <xf numFmtId="0" fontId="3" fillId="23" borderId="11" xfId="0" applyFont="1" applyFill="1" applyBorder="1"/>
    <xf numFmtId="44" fontId="3" fillId="23" borderId="11" xfId="1" applyFont="1" applyFill="1" applyBorder="1"/>
    <xf numFmtId="9" fontId="0" fillId="24" borderId="24" xfId="2" applyFont="1" applyFill="1" applyBorder="1"/>
    <xf numFmtId="43" fontId="0" fillId="24" borderId="3" xfId="3" applyFont="1" applyFill="1" applyBorder="1" applyAlignment="1">
      <alignment horizontal="left"/>
    </xf>
    <xf numFmtId="44" fontId="0" fillId="25" borderId="10" xfId="1" applyFont="1" applyFill="1" applyBorder="1"/>
    <xf numFmtId="44" fontId="6" fillId="24" borderId="2" xfId="0" applyNumberFormat="1" applyFont="1" applyFill="1" applyBorder="1"/>
    <xf numFmtId="0" fontId="0" fillId="26" borderId="14" xfId="0" applyFill="1" applyBorder="1" applyAlignment="1">
      <alignment horizontal="center"/>
    </xf>
    <xf numFmtId="0" fontId="6" fillId="24" borderId="4" xfId="0" applyFont="1" applyFill="1" applyBorder="1"/>
    <xf numFmtId="0" fontId="3" fillId="22" borderId="15" xfId="0" applyFont="1" applyFill="1" applyBorder="1"/>
    <xf numFmtId="44" fontId="3" fillId="22" borderId="17" xfId="1" applyFont="1" applyFill="1" applyBorder="1"/>
    <xf numFmtId="0" fontId="7" fillId="0" borderId="11" xfId="0" applyFont="1" applyBorder="1" applyAlignment="1">
      <alignment horizontal="center"/>
    </xf>
    <xf numFmtId="42" fontId="0" fillId="0" borderId="0" xfId="0" applyNumberFormat="1"/>
    <xf numFmtId="44" fontId="8" fillId="25" borderId="25" xfId="1" applyFont="1" applyFill="1" applyBorder="1" applyAlignment="1">
      <alignment horizontal="center"/>
    </xf>
    <xf numFmtId="42" fontId="8" fillId="25" borderId="26" xfId="1" applyNumberFormat="1" applyFont="1" applyFill="1" applyBorder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285750</xdr:colOff>
      <xdr:row>15</xdr:row>
      <xdr:rowOff>123825</xdr:rowOff>
    </xdr:from>
    <xdr:to>
      <xdr:col>15</xdr:col>
      <xdr:colOff>248012</xdr:colOff>
      <xdr:row>18</xdr:row>
      <xdr:rowOff>171536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D036D-DA2C-44E9-B21D-986DB1822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6925" y="3105150"/>
          <a:ext cx="2591162" cy="619211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51C5-4CC8-4E40-B046-A4F0443985AA}">
  <dimension ref="A1:N32"/>
  <sheetViews>
    <sheetView showGridLines="0" tabSelected="1" workbookViewId="0">
      <selection activeCell="N21" sqref="N21"/>
    </sheetView>
  </sheetViews>
  <sheetFormatPr defaultRowHeight="15" x14ac:dyDescent="0.25"/>
  <cols>
    <col min="1" max="1" width="41.28515625" bestFit="1" customWidth="1"/>
    <col min="2" max="2" width="9" bestFit="1" customWidth="1"/>
    <col min="3" max="3" width="5.85546875" bestFit="1" customWidth="1"/>
    <col min="4" max="4" width="11.28515625" bestFit="1" customWidth="1"/>
    <col min="5" max="5" width="9.5703125" bestFit="1" customWidth="1"/>
    <col min="6" max="6" width="10.5703125" bestFit="1" customWidth="1"/>
    <col min="7" max="7" width="11.5703125" bestFit="1" customWidth="1"/>
    <col min="8" max="8" width="10.5703125" bestFit="1" customWidth="1"/>
    <col min="9" max="9" width="12.5703125" bestFit="1" customWidth="1"/>
    <col min="10" max="10" width="14.28515625" bestFit="1" customWidth="1"/>
    <col min="11" max="11" width="3.140625" bestFit="1" customWidth="1"/>
    <col min="13" max="13" width="25.7109375" bestFit="1" customWidth="1"/>
    <col min="14" max="14" width="12.7109375" bestFit="1" customWidth="1"/>
  </cols>
  <sheetData>
    <row r="1" spans="1:14" ht="19.5" thickBot="1" x14ac:dyDescent="0.35">
      <c r="A1" s="48" t="s">
        <v>47</v>
      </c>
      <c r="B1" s="49" t="s">
        <v>36</v>
      </c>
      <c r="C1" s="49" t="s">
        <v>37</v>
      </c>
      <c r="D1" s="49" t="s">
        <v>38</v>
      </c>
      <c r="E1" s="49" t="s">
        <v>39</v>
      </c>
      <c r="F1" s="49" t="s">
        <v>40</v>
      </c>
      <c r="G1" s="49" t="s">
        <v>41</v>
      </c>
      <c r="H1" s="49" t="s">
        <v>42</v>
      </c>
      <c r="I1" s="49" t="s">
        <v>43</v>
      </c>
      <c r="J1" s="49" t="s">
        <v>44</v>
      </c>
      <c r="M1" s="81" t="s">
        <v>54</v>
      </c>
      <c r="N1" s="81"/>
    </row>
    <row r="2" spans="1:14" x14ac:dyDescent="0.25">
      <c r="A2" s="50" t="s">
        <v>0</v>
      </c>
      <c r="B2" s="51">
        <v>681.3</v>
      </c>
      <c r="C2" s="51" t="s">
        <v>1</v>
      </c>
      <c r="D2" s="51">
        <v>0</v>
      </c>
      <c r="E2" s="51">
        <v>0</v>
      </c>
      <c r="F2" s="52">
        <f>N9</f>
        <v>9</v>
      </c>
      <c r="G2" s="52">
        <f>F2*B2</f>
        <v>6131.7</v>
      </c>
      <c r="H2" s="53">
        <v>0.05</v>
      </c>
      <c r="I2" s="52">
        <f>H2*G2</f>
        <v>306.58499999999998</v>
      </c>
      <c r="J2" s="54">
        <f>I2+G2</f>
        <v>6438.2849999999999</v>
      </c>
      <c r="K2" s="1"/>
      <c r="M2" s="79" t="s">
        <v>49</v>
      </c>
      <c r="N2" s="80">
        <v>0.9</v>
      </c>
    </row>
    <row r="3" spans="1:14" x14ac:dyDescent="0.25">
      <c r="A3" s="55" t="s">
        <v>2</v>
      </c>
      <c r="B3" s="56">
        <v>155.01</v>
      </c>
      <c r="C3" s="56" t="s">
        <v>1</v>
      </c>
      <c r="D3" s="56">
        <v>0</v>
      </c>
      <c r="E3" s="56">
        <v>0</v>
      </c>
      <c r="F3" s="57">
        <f>N10</f>
        <v>9</v>
      </c>
      <c r="G3" s="57">
        <f t="shared" ref="G3:G7" si="0">F3*B3</f>
        <v>1395.09</v>
      </c>
      <c r="H3" s="58">
        <v>0.05</v>
      </c>
      <c r="I3" s="57">
        <f t="shared" ref="I3:I7" si="1">H3*G3</f>
        <v>69.754499999999993</v>
      </c>
      <c r="J3" s="59">
        <f t="shared" ref="J3:J7" si="2">I3+G3</f>
        <v>1464.8444999999999</v>
      </c>
      <c r="K3" s="2"/>
      <c r="M3" s="60" t="s">
        <v>53</v>
      </c>
      <c r="N3" s="64">
        <v>160</v>
      </c>
    </row>
    <row r="4" spans="1:14" x14ac:dyDescent="0.25">
      <c r="A4" s="60" t="s">
        <v>3</v>
      </c>
      <c r="B4" s="61">
        <v>59</v>
      </c>
      <c r="C4" s="61" t="s">
        <v>1</v>
      </c>
      <c r="D4" s="61">
        <v>0</v>
      </c>
      <c r="E4" s="61">
        <v>0</v>
      </c>
      <c r="F4" s="62">
        <f>N11</f>
        <v>32</v>
      </c>
      <c r="G4" s="62">
        <f t="shared" si="0"/>
        <v>1888</v>
      </c>
      <c r="H4" s="63">
        <v>0.05</v>
      </c>
      <c r="I4" s="62">
        <f t="shared" si="1"/>
        <v>94.4</v>
      </c>
      <c r="J4" s="64">
        <f t="shared" si="2"/>
        <v>1982.4</v>
      </c>
      <c r="K4" s="3"/>
      <c r="M4" s="55" t="s">
        <v>50</v>
      </c>
      <c r="N4" s="59">
        <v>0.5</v>
      </c>
    </row>
    <row r="5" spans="1:14" x14ac:dyDescent="0.25">
      <c r="A5" s="55" t="s">
        <v>4</v>
      </c>
      <c r="B5" s="56">
        <v>5818.56</v>
      </c>
      <c r="C5" s="56" t="s">
        <v>5</v>
      </c>
      <c r="D5" s="56">
        <v>0</v>
      </c>
      <c r="E5" s="56">
        <v>0</v>
      </c>
      <c r="F5" s="57">
        <f>N12</f>
        <v>4.8499999999999996</v>
      </c>
      <c r="G5" s="57">
        <f t="shared" si="0"/>
        <v>28220.016</v>
      </c>
      <c r="H5" s="58">
        <v>0.05</v>
      </c>
      <c r="I5" s="57">
        <f t="shared" si="1"/>
        <v>1411.0008</v>
      </c>
      <c r="J5" s="59">
        <f t="shared" si="2"/>
        <v>29631.016800000001</v>
      </c>
      <c r="K5" s="4"/>
      <c r="M5" s="60" t="s">
        <v>51</v>
      </c>
      <c r="N5" s="64">
        <v>9</v>
      </c>
    </row>
    <row r="6" spans="1:14" x14ac:dyDescent="0.25">
      <c r="A6" s="60" t="s">
        <v>45</v>
      </c>
      <c r="B6" s="61">
        <v>378.3</v>
      </c>
      <c r="C6" s="61" t="s">
        <v>5</v>
      </c>
      <c r="D6" s="61">
        <v>0</v>
      </c>
      <c r="E6" s="61">
        <v>0</v>
      </c>
      <c r="F6" s="62">
        <f>N12</f>
        <v>4.8499999999999996</v>
      </c>
      <c r="G6" s="62">
        <f t="shared" si="0"/>
        <v>1834.7549999999999</v>
      </c>
      <c r="H6" s="63">
        <v>0.05</v>
      </c>
      <c r="I6" s="62">
        <f t="shared" si="1"/>
        <v>91.737750000000005</v>
      </c>
      <c r="J6" s="64">
        <f t="shared" si="2"/>
        <v>1926.4927499999999</v>
      </c>
      <c r="K6" s="47"/>
      <c r="M6" s="55" t="s">
        <v>52</v>
      </c>
      <c r="N6" s="59">
        <v>1500</v>
      </c>
    </row>
    <row r="7" spans="1:14" ht="15.75" thickBot="1" x14ac:dyDescent="0.3">
      <c r="A7" s="65" t="s">
        <v>6</v>
      </c>
      <c r="B7" s="66">
        <v>1</v>
      </c>
      <c r="C7" s="66" t="s">
        <v>7</v>
      </c>
      <c r="D7" s="66"/>
      <c r="E7" s="66"/>
      <c r="F7" s="67">
        <f>N13</f>
        <v>4000</v>
      </c>
      <c r="G7" s="67">
        <f t="shared" si="0"/>
        <v>4000</v>
      </c>
      <c r="H7" s="68">
        <v>0.05</v>
      </c>
      <c r="I7" s="67">
        <f t="shared" si="1"/>
        <v>200</v>
      </c>
      <c r="J7" s="69">
        <f t="shared" si="2"/>
        <v>4200</v>
      </c>
      <c r="K7" s="5"/>
    </row>
    <row r="8" spans="1:14" ht="16.5" thickBot="1" x14ac:dyDescent="0.3">
      <c r="A8" s="70"/>
      <c r="B8" s="71"/>
      <c r="C8" s="71"/>
      <c r="D8" s="71"/>
      <c r="E8" s="71"/>
      <c r="F8" s="72"/>
      <c r="G8" s="73"/>
      <c r="H8" s="74"/>
      <c r="I8" s="75">
        <f>SUM(J2:J7)</f>
        <v>45643.039049999999</v>
      </c>
      <c r="J8" s="76"/>
      <c r="K8" s="78"/>
      <c r="M8" s="81" t="s">
        <v>55</v>
      </c>
      <c r="N8" s="81"/>
    </row>
    <row r="9" spans="1:14" x14ac:dyDescent="0.25">
      <c r="M9" s="79" t="s">
        <v>56</v>
      </c>
      <c r="N9" s="80">
        <v>9</v>
      </c>
    </row>
    <row r="10" spans="1:14" x14ac:dyDescent="0.25">
      <c r="M10" s="60" t="s">
        <v>57</v>
      </c>
      <c r="N10" s="64">
        <v>9</v>
      </c>
    </row>
    <row r="11" spans="1:14" x14ac:dyDescent="0.25">
      <c r="M11" s="55" t="s">
        <v>58</v>
      </c>
      <c r="N11" s="59">
        <v>32</v>
      </c>
    </row>
    <row r="12" spans="1:14" ht="15.75" thickBot="1" x14ac:dyDescent="0.3">
      <c r="M12" s="60" t="s">
        <v>59</v>
      </c>
      <c r="N12" s="64">
        <v>4.8499999999999996</v>
      </c>
    </row>
    <row r="13" spans="1:14" ht="19.5" thickBot="1" x14ac:dyDescent="0.35">
      <c r="A13" s="48" t="s">
        <v>48</v>
      </c>
      <c r="B13" s="49" t="s">
        <v>36</v>
      </c>
      <c r="C13" s="49" t="s">
        <v>37</v>
      </c>
      <c r="D13" s="49" t="s">
        <v>38</v>
      </c>
      <c r="E13" s="49" t="s">
        <v>39</v>
      </c>
      <c r="F13" s="49" t="s">
        <v>40</v>
      </c>
      <c r="G13" s="49" t="s">
        <v>41</v>
      </c>
      <c r="H13" s="49" t="s">
        <v>42</v>
      </c>
      <c r="I13" s="49" t="s">
        <v>43</v>
      </c>
      <c r="J13" s="77" t="s">
        <v>44</v>
      </c>
      <c r="M13" s="55" t="s">
        <v>60</v>
      </c>
      <c r="N13" s="59">
        <v>4000</v>
      </c>
    </row>
    <row r="14" spans="1:14" x14ac:dyDescent="0.25">
      <c r="A14" s="50" t="s">
        <v>8</v>
      </c>
      <c r="B14" s="51">
        <v>746.99</v>
      </c>
      <c r="C14" s="51" t="s">
        <v>1</v>
      </c>
      <c r="D14" s="51">
        <v>0</v>
      </c>
      <c r="E14" s="51">
        <v>0</v>
      </c>
      <c r="F14" s="52">
        <f>N2</f>
        <v>0.9</v>
      </c>
      <c r="G14" s="52">
        <f>F14*B14</f>
        <v>672.29100000000005</v>
      </c>
      <c r="H14" s="53">
        <v>0.05</v>
      </c>
      <c r="I14" s="52">
        <f>H14*G14</f>
        <v>33.614550000000001</v>
      </c>
      <c r="J14" s="54">
        <f>I14+G14</f>
        <v>705.90555000000006</v>
      </c>
      <c r="K14" s="6"/>
    </row>
    <row r="15" spans="1:14" x14ac:dyDescent="0.25">
      <c r="A15" s="55" t="s">
        <v>22</v>
      </c>
      <c r="B15" s="56">
        <v>1585.07</v>
      </c>
      <c r="C15" s="56" t="s">
        <v>1</v>
      </c>
      <c r="D15" s="56">
        <v>9.58</v>
      </c>
      <c r="E15" s="56">
        <v>15184.97</v>
      </c>
      <c r="F15" s="57">
        <f>N2</f>
        <v>0.9</v>
      </c>
      <c r="G15" s="57">
        <f>F15*E15</f>
        <v>13666.473</v>
      </c>
      <c r="H15" s="58">
        <v>0.05</v>
      </c>
      <c r="I15" s="57">
        <f t="shared" ref="I15" si="3">H15*G15</f>
        <v>683.32365000000004</v>
      </c>
      <c r="J15" s="59">
        <f t="shared" ref="J15" si="4">I15+G15</f>
        <v>14349.79665</v>
      </c>
      <c r="K15" s="7"/>
    </row>
    <row r="16" spans="1:14" x14ac:dyDescent="0.25">
      <c r="A16" s="60" t="s">
        <v>21</v>
      </c>
      <c r="B16" s="61">
        <v>1585.07</v>
      </c>
      <c r="C16" s="61" t="s">
        <v>1</v>
      </c>
      <c r="D16" s="61">
        <v>9.58</v>
      </c>
      <c r="E16" s="61">
        <v>15184.97</v>
      </c>
      <c r="F16" s="62">
        <f>N2</f>
        <v>0.9</v>
      </c>
      <c r="G16" s="62">
        <f>F16*E16</f>
        <v>13666.473</v>
      </c>
      <c r="H16" s="63">
        <v>0.05</v>
      </c>
      <c r="I16" s="62">
        <f t="shared" ref="I16" si="5">H16*G16</f>
        <v>683.32365000000004</v>
      </c>
      <c r="J16" s="64">
        <f t="shared" ref="J16" si="6">I16+G16</f>
        <v>14349.79665</v>
      </c>
      <c r="K16" s="7"/>
    </row>
    <row r="17" spans="1:14" ht="15.75" thickBot="1" x14ac:dyDescent="0.3">
      <c r="A17" s="55" t="s">
        <v>9</v>
      </c>
      <c r="B17" s="56">
        <v>48.37</v>
      </c>
      <c r="C17" s="56" t="s">
        <v>1</v>
      </c>
      <c r="D17" s="56">
        <v>21.33</v>
      </c>
      <c r="E17" s="56">
        <v>1031.73</v>
      </c>
      <c r="F17" s="57">
        <f>N2</f>
        <v>0.9</v>
      </c>
      <c r="G17" s="57">
        <f t="shared" ref="G17:G18" si="7">F17*E17</f>
        <v>928.55700000000002</v>
      </c>
      <c r="H17" s="58">
        <v>0.05</v>
      </c>
      <c r="I17" s="57">
        <f>H17*G17</f>
        <v>46.427850000000007</v>
      </c>
      <c r="J17" s="59">
        <f>I17+G17</f>
        <v>974.98485000000005</v>
      </c>
      <c r="K17" s="4"/>
    </row>
    <row r="18" spans="1:14" ht="17.25" thickTop="1" thickBot="1" x14ac:dyDescent="0.3">
      <c r="A18" s="60" t="s">
        <v>10</v>
      </c>
      <c r="B18" s="61">
        <v>58.65</v>
      </c>
      <c r="C18" s="61" t="s">
        <v>1</v>
      </c>
      <c r="D18" s="61">
        <v>43.5</v>
      </c>
      <c r="E18" s="61">
        <v>2551.2800000000002</v>
      </c>
      <c r="F18" s="62">
        <f>N2</f>
        <v>0.9</v>
      </c>
      <c r="G18" s="62">
        <f t="shared" si="7"/>
        <v>2296.152</v>
      </c>
      <c r="H18" s="63">
        <v>0.05</v>
      </c>
      <c r="I18" s="62">
        <f>H18*G18</f>
        <v>114.80760000000001</v>
      </c>
      <c r="J18" s="64">
        <f>I18+G18</f>
        <v>2410.9596000000001</v>
      </c>
      <c r="K18" s="4"/>
      <c r="M18" s="83" t="s">
        <v>62</v>
      </c>
      <c r="N18" s="84">
        <f>I32</f>
        <v>90277.1247</v>
      </c>
    </row>
    <row r="19" spans="1:14" ht="17.25" thickTop="1" thickBot="1" x14ac:dyDescent="0.3">
      <c r="A19" s="55" t="s">
        <v>23</v>
      </c>
      <c r="B19" s="56">
        <v>4663.7700000000004</v>
      </c>
      <c r="C19" s="56" t="s">
        <v>5</v>
      </c>
      <c r="D19" s="56">
        <v>0</v>
      </c>
      <c r="E19" s="56">
        <v>0</v>
      </c>
      <c r="F19" s="57">
        <f>N2</f>
        <v>0.9</v>
      </c>
      <c r="G19" s="57">
        <f>F19*B19</f>
        <v>4197.3930000000009</v>
      </c>
      <c r="H19" s="58">
        <v>0.05</v>
      </c>
      <c r="I19" s="57">
        <f>H19*G19</f>
        <v>209.86965000000006</v>
      </c>
      <c r="J19" s="59">
        <f>I19+G19</f>
        <v>4407.2626500000006</v>
      </c>
      <c r="K19" s="8"/>
      <c r="M19" s="83" t="s">
        <v>63</v>
      </c>
      <c r="N19" s="84">
        <f>I8</f>
        <v>45643.039049999999</v>
      </c>
    </row>
    <row r="20" spans="1:14" ht="15.75" thickTop="1" x14ac:dyDescent="0.25">
      <c r="A20" s="60" t="s">
        <v>32</v>
      </c>
      <c r="B20" s="61">
        <v>4663.7700000000004</v>
      </c>
      <c r="C20" s="61" t="s">
        <v>5</v>
      </c>
      <c r="D20" s="61">
        <v>0</v>
      </c>
      <c r="E20" s="61">
        <v>0</v>
      </c>
      <c r="F20" s="62">
        <f>N2</f>
        <v>0.9</v>
      </c>
      <c r="G20" s="62">
        <f>F20*B20</f>
        <v>4197.3930000000009</v>
      </c>
      <c r="H20" s="63">
        <v>0.05</v>
      </c>
      <c r="I20" s="62">
        <f>H20*G20</f>
        <v>209.86965000000006</v>
      </c>
      <c r="J20" s="64">
        <f>I20+G20</f>
        <v>4407.2626500000006</v>
      </c>
      <c r="K20" s="8"/>
      <c r="N20" s="82">
        <f>N18+N19</f>
        <v>135920.16375000001</v>
      </c>
    </row>
    <row r="21" spans="1:14" x14ac:dyDescent="0.25">
      <c r="A21" s="55" t="s">
        <v>24</v>
      </c>
      <c r="B21" s="56">
        <v>65</v>
      </c>
      <c r="C21" s="56" t="s">
        <v>7</v>
      </c>
      <c r="D21" s="56"/>
      <c r="E21" s="56"/>
      <c r="F21" s="57">
        <f>N3</f>
        <v>160</v>
      </c>
      <c r="G21" s="57">
        <f t="shared" ref="G21:G30" si="8">F21*B21</f>
        <v>10400</v>
      </c>
      <c r="H21" s="58">
        <v>0.05</v>
      </c>
      <c r="I21" s="57">
        <f>H21*G21</f>
        <v>520</v>
      </c>
      <c r="J21" s="59">
        <f>I21+G21</f>
        <v>10920</v>
      </c>
      <c r="K21" s="2"/>
    </row>
    <row r="22" spans="1:14" x14ac:dyDescent="0.25">
      <c r="A22" s="60" t="s">
        <v>25</v>
      </c>
      <c r="B22" s="61">
        <v>65</v>
      </c>
      <c r="C22" s="61" t="s">
        <v>7</v>
      </c>
      <c r="D22" s="61"/>
      <c r="E22" s="61"/>
      <c r="F22" s="62">
        <f>N3</f>
        <v>160</v>
      </c>
      <c r="G22" s="62">
        <f t="shared" ref="G22" si="9">F22*B22</f>
        <v>10400</v>
      </c>
      <c r="H22" s="63">
        <v>0.05</v>
      </c>
      <c r="I22" s="62">
        <f>H22*G22</f>
        <v>520</v>
      </c>
      <c r="J22" s="64">
        <f>I22+G22</f>
        <v>10920</v>
      </c>
      <c r="K22" s="2"/>
    </row>
    <row r="23" spans="1:14" x14ac:dyDescent="0.25">
      <c r="A23" s="55" t="s">
        <v>11</v>
      </c>
      <c r="B23" s="56">
        <v>174.22</v>
      </c>
      <c r="C23" s="56" t="s">
        <v>5</v>
      </c>
      <c r="D23" s="56">
        <v>0</v>
      </c>
      <c r="E23" s="56">
        <v>0</v>
      </c>
      <c r="F23" s="57">
        <f>N4</f>
        <v>0.5</v>
      </c>
      <c r="G23" s="57">
        <f>F23*B23</f>
        <v>87.11</v>
      </c>
      <c r="H23" s="58">
        <v>0.05</v>
      </c>
      <c r="I23" s="57">
        <f>H23*G23</f>
        <v>4.3555000000000001</v>
      </c>
      <c r="J23" s="59">
        <f>I23+G23</f>
        <v>91.465500000000006</v>
      </c>
      <c r="K23" s="9"/>
    </row>
    <row r="24" spans="1:14" x14ac:dyDescent="0.25">
      <c r="A24" s="60" t="s">
        <v>12</v>
      </c>
      <c r="B24" s="61">
        <v>1520.75</v>
      </c>
      <c r="C24" s="61" t="s">
        <v>5</v>
      </c>
      <c r="D24" s="61">
        <v>0</v>
      </c>
      <c r="E24" s="61">
        <v>0</v>
      </c>
      <c r="F24" s="62">
        <f>N2</f>
        <v>0.9</v>
      </c>
      <c r="G24" s="62">
        <f>F24*B24</f>
        <v>1368.675</v>
      </c>
      <c r="H24" s="63">
        <v>0.05</v>
      </c>
      <c r="I24" s="62">
        <f>H24*G24</f>
        <v>68.433750000000003</v>
      </c>
      <c r="J24" s="64">
        <f>I24+G24</f>
        <v>1437.1087499999999</v>
      </c>
      <c r="K24" s="10"/>
    </row>
    <row r="25" spans="1:14" x14ac:dyDescent="0.25">
      <c r="A25" s="55" t="s">
        <v>13</v>
      </c>
      <c r="B25" s="56">
        <v>1409.49</v>
      </c>
      <c r="C25" s="56" t="s">
        <v>5</v>
      </c>
      <c r="D25" s="56">
        <v>0</v>
      </c>
      <c r="E25" s="56">
        <v>0</v>
      </c>
      <c r="F25" s="57">
        <f>N4</f>
        <v>0.5</v>
      </c>
      <c r="G25" s="57">
        <f>F25*B25</f>
        <v>704.745</v>
      </c>
      <c r="H25" s="58">
        <v>0.05</v>
      </c>
      <c r="I25" s="57">
        <f>H25*G25</f>
        <v>35.237250000000003</v>
      </c>
      <c r="J25" s="59">
        <f>I25+G25</f>
        <v>739.98225000000002</v>
      </c>
      <c r="K25" s="11"/>
    </row>
    <row r="26" spans="1:14" x14ac:dyDescent="0.25">
      <c r="A26" s="60" t="s">
        <v>14</v>
      </c>
      <c r="B26" s="61">
        <v>337.95</v>
      </c>
      <c r="C26" s="61" t="s">
        <v>5</v>
      </c>
      <c r="D26" s="61">
        <v>0</v>
      </c>
      <c r="E26" s="61">
        <v>0</v>
      </c>
      <c r="F26" s="62">
        <f>N5</f>
        <v>9</v>
      </c>
      <c r="G26" s="62">
        <f>F26*B26</f>
        <v>3041.5499999999997</v>
      </c>
      <c r="H26" s="63">
        <v>0.05</v>
      </c>
      <c r="I26" s="62">
        <f>H26*G26</f>
        <v>152.07749999999999</v>
      </c>
      <c r="J26" s="64">
        <f>I26+G26</f>
        <v>3193.6274999999996</v>
      </c>
      <c r="K26" s="12"/>
    </row>
    <row r="27" spans="1:14" x14ac:dyDescent="0.25">
      <c r="A27" s="55" t="s">
        <v>15</v>
      </c>
      <c r="B27" s="56">
        <v>3835.13</v>
      </c>
      <c r="C27" s="56" t="s">
        <v>5</v>
      </c>
      <c r="D27" s="56">
        <v>0</v>
      </c>
      <c r="E27" s="56">
        <v>0</v>
      </c>
      <c r="F27" s="57">
        <f>N2</f>
        <v>0.9</v>
      </c>
      <c r="G27" s="57">
        <f>F27*B27</f>
        <v>3451.6170000000002</v>
      </c>
      <c r="H27" s="58">
        <v>0.05</v>
      </c>
      <c r="I27" s="57">
        <f>H27*G27</f>
        <v>172.58085000000003</v>
      </c>
      <c r="J27" s="59">
        <f>I27+G27</f>
        <v>3624.19785</v>
      </c>
      <c r="K27" s="13"/>
    </row>
    <row r="28" spans="1:14" x14ac:dyDescent="0.25">
      <c r="A28" s="60" t="s">
        <v>16</v>
      </c>
      <c r="B28" s="61">
        <v>29</v>
      </c>
      <c r="C28" s="61" t="s">
        <v>7</v>
      </c>
      <c r="D28" s="61"/>
      <c r="E28" s="61"/>
      <c r="F28" s="62">
        <f>N3</f>
        <v>160</v>
      </c>
      <c r="G28" s="62">
        <f>F28*B28</f>
        <v>4640</v>
      </c>
      <c r="H28" s="63">
        <v>0.05</v>
      </c>
      <c r="I28" s="62">
        <f>H28*G28</f>
        <v>232</v>
      </c>
      <c r="J28" s="64">
        <f>I28+G28</f>
        <v>4872</v>
      </c>
      <c r="K28" s="14"/>
    </row>
    <row r="29" spans="1:14" x14ac:dyDescent="0.25">
      <c r="A29" s="55" t="s">
        <v>17</v>
      </c>
      <c r="B29" s="56">
        <v>163.27000000000001</v>
      </c>
      <c r="C29" s="56" t="s">
        <v>5</v>
      </c>
      <c r="D29" s="56">
        <v>0</v>
      </c>
      <c r="E29" s="56">
        <v>0</v>
      </c>
      <c r="F29" s="57">
        <f>N2</f>
        <v>0.9</v>
      </c>
      <c r="G29" s="57">
        <f>F29*B29</f>
        <v>146.94300000000001</v>
      </c>
      <c r="H29" s="58">
        <v>0.05</v>
      </c>
      <c r="I29" s="57">
        <f>H29*G29</f>
        <v>7.347150000000001</v>
      </c>
      <c r="J29" s="59">
        <f>I29+G29</f>
        <v>154.29015000000001</v>
      </c>
      <c r="K29" s="13"/>
    </row>
    <row r="30" spans="1:14" x14ac:dyDescent="0.25">
      <c r="A30" s="60" t="s">
        <v>18</v>
      </c>
      <c r="B30" s="61">
        <v>125.38</v>
      </c>
      <c r="C30" s="61" t="s">
        <v>5</v>
      </c>
      <c r="D30" s="61">
        <v>0</v>
      </c>
      <c r="E30" s="61">
        <v>0</v>
      </c>
      <c r="F30" s="62">
        <f>N2</f>
        <v>0.9</v>
      </c>
      <c r="G30" s="62">
        <f>F30*B30</f>
        <v>112.842</v>
      </c>
      <c r="H30" s="63">
        <v>0.05</v>
      </c>
      <c r="I30" s="62">
        <f>H30*G30</f>
        <v>5.6421000000000001</v>
      </c>
      <c r="J30" s="64">
        <f>I30+G30</f>
        <v>118.4841</v>
      </c>
      <c r="K30" s="13"/>
    </row>
    <row r="31" spans="1:14" ht="15.75" thickBot="1" x14ac:dyDescent="0.3">
      <c r="A31" s="55" t="s">
        <v>46</v>
      </c>
      <c r="B31" s="56">
        <v>8</v>
      </c>
      <c r="C31" s="56" t="s">
        <v>7</v>
      </c>
      <c r="D31" s="56"/>
      <c r="E31" s="56"/>
      <c r="F31" s="57">
        <f>N6</f>
        <v>1500</v>
      </c>
      <c r="G31" s="57">
        <f>F31*B31</f>
        <v>12000</v>
      </c>
      <c r="H31" s="58">
        <v>0.05</v>
      </c>
      <c r="I31" s="57">
        <f>H31*G31</f>
        <v>600</v>
      </c>
      <c r="J31" s="59">
        <f>I31+G31</f>
        <v>12600</v>
      </c>
      <c r="K31" s="6"/>
    </row>
    <row r="32" spans="1:14" ht="15.75" thickBot="1" x14ac:dyDescent="0.3">
      <c r="A32" s="70"/>
      <c r="B32" s="71"/>
      <c r="C32" s="71"/>
      <c r="D32" s="71"/>
      <c r="E32" s="71"/>
      <c r="F32" s="72"/>
      <c r="G32" s="73" t="s">
        <v>19</v>
      </c>
      <c r="H32" s="74">
        <v>15593.57</v>
      </c>
      <c r="I32" s="75">
        <f>SUM(J14:J31)</f>
        <v>90277.1247</v>
      </c>
      <c r="J32" s="76">
        <f>I32/H32</f>
        <v>5.7893814373488564</v>
      </c>
      <c r="K32" s="78" t="s">
        <v>61</v>
      </c>
    </row>
  </sheetData>
  <mergeCells count="2">
    <mergeCell ref="M1:N1"/>
    <mergeCell ref="M8:N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F796-2274-401C-BB75-DA3051B0ED99}">
  <dimension ref="A1:O27"/>
  <sheetViews>
    <sheetView workbookViewId="0">
      <selection activeCell="E31" sqref="E31"/>
    </sheetView>
  </sheetViews>
  <sheetFormatPr defaultRowHeight="15" x14ac:dyDescent="0.25"/>
  <cols>
    <col min="1" max="1" width="32.7109375" bestFit="1" customWidth="1"/>
    <col min="2" max="2" width="9" bestFit="1" customWidth="1"/>
    <col min="3" max="3" width="5.85546875" bestFit="1" customWidth="1"/>
    <col min="4" max="4" width="11.28515625" bestFit="1" customWidth="1"/>
    <col min="5" max="5" width="9.5703125" bestFit="1" customWidth="1"/>
    <col min="6" max="6" width="10.5703125" bestFit="1" customWidth="1"/>
    <col min="7" max="7" width="11.5703125" bestFit="1" customWidth="1"/>
    <col min="8" max="8" width="9.7109375" style="15" bestFit="1" customWidth="1"/>
    <col min="9" max="9" width="12" bestFit="1" customWidth="1"/>
    <col min="10" max="10" width="12.5703125" bestFit="1" customWidth="1"/>
    <col min="11" max="11" width="7" bestFit="1" customWidth="1"/>
    <col min="14" max="14" width="12.7109375" bestFit="1" customWidth="1"/>
    <col min="15" max="15" width="17.5703125" bestFit="1" customWidth="1"/>
  </cols>
  <sheetData>
    <row r="1" spans="1:15" ht="15.75" thickBot="1" x14ac:dyDescent="0.3">
      <c r="A1" s="44" t="s">
        <v>20</v>
      </c>
      <c r="B1" s="45"/>
      <c r="C1" s="45"/>
      <c r="D1" s="45"/>
      <c r="E1" s="45"/>
      <c r="F1" s="45"/>
      <c r="G1" s="45"/>
      <c r="H1" s="45"/>
      <c r="I1" s="45"/>
      <c r="J1" s="45"/>
      <c r="K1" s="46"/>
      <c r="N1" s="36" t="s">
        <v>27</v>
      </c>
      <c r="O1" s="37">
        <v>9</v>
      </c>
    </row>
    <row r="2" spans="1:15" x14ac:dyDescent="0.25">
      <c r="A2" s="19" t="s">
        <v>0</v>
      </c>
      <c r="B2" s="20">
        <v>594.23</v>
      </c>
      <c r="C2" s="20" t="s">
        <v>1</v>
      </c>
      <c r="D2" s="20">
        <v>0</v>
      </c>
      <c r="E2" s="20">
        <v>0</v>
      </c>
      <c r="F2" s="21">
        <f>O1</f>
        <v>9</v>
      </c>
      <c r="G2" s="21">
        <f>F2*B2</f>
        <v>5348.07</v>
      </c>
      <c r="H2" s="22">
        <v>0.05</v>
      </c>
      <c r="I2" s="21">
        <f>H2*G2</f>
        <v>267.40350000000001</v>
      </c>
      <c r="J2" s="23">
        <f>I2+G2</f>
        <v>5615.4735000000001</v>
      </c>
      <c r="K2" s="1"/>
      <c r="N2" s="38" t="s">
        <v>28</v>
      </c>
      <c r="O2" s="39">
        <v>9</v>
      </c>
    </row>
    <row r="3" spans="1:15" x14ac:dyDescent="0.25">
      <c r="A3" s="24" t="s">
        <v>2</v>
      </c>
      <c r="B3" s="25">
        <v>45.59</v>
      </c>
      <c r="C3" s="25" t="s">
        <v>1</v>
      </c>
      <c r="D3" s="25">
        <v>0</v>
      </c>
      <c r="E3" s="25">
        <v>0</v>
      </c>
      <c r="F3" s="26">
        <f>O2</f>
        <v>9</v>
      </c>
      <c r="G3" s="26">
        <f t="shared" ref="G3:G6" si="0">F3*B3</f>
        <v>410.31000000000006</v>
      </c>
      <c r="H3" s="27">
        <v>0.05</v>
      </c>
      <c r="I3" s="26">
        <f t="shared" ref="I3:I26" si="1">H3*G3</f>
        <v>20.515500000000003</v>
      </c>
      <c r="J3" s="28">
        <f t="shared" ref="J3:J26" si="2">I3+G3</f>
        <v>430.82550000000003</v>
      </c>
      <c r="K3" s="2"/>
      <c r="N3" s="38" t="s">
        <v>29</v>
      </c>
      <c r="O3" s="39">
        <v>32</v>
      </c>
    </row>
    <row r="4" spans="1:15" x14ac:dyDescent="0.25">
      <c r="A4" s="24" t="s">
        <v>3</v>
      </c>
      <c r="B4" s="25">
        <v>55.08</v>
      </c>
      <c r="C4" s="25" t="s">
        <v>1</v>
      </c>
      <c r="D4" s="25">
        <v>0</v>
      </c>
      <c r="E4" s="25">
        <v>0</v>
      </c>
      <c r="F4" s="26">
        <f>O3</f>
        <v>32</v>
      </c>
      <c r="G4" s="26">
        <f t="shared" si="0"/>
        <v>1762.56</v>
      </c>
      <c r="H4" s="27">
        <v>0.05</v>
      </c>
      <c r="I4" s="26">
        <f t="shared" si="1"/>
        <v>88.128</v>
      </c>
      <c r="J4" s="28">
        <f t="shared" si="2"/>
        <v>1850.6879999999999</v>
      </c>
      <c r="K4" s="3"/>
      <c r="N4" s="38" t="s">
        <v>30</v>
      </c>
      <c r="O4" s="39">
        <v>4.8499999999999996</v>
      </c>
    </row>
    <row r="5" spans="1:15" x14ac:dyDescent="0.25">
      <c r="A5" s="24" t="s">
        <v>4</v>
      </c>
      <c r="B5" s="25">
        <v>5818.56</v>
      </c>
      <c r="C5" s="25" t="s">
        <v>5</v>
      </c>
      <c r="D5" s="25">
        <v>0</v>
      </c>
      <c r="E5" s="25">
        <v>0</v>
      </c>
      <c r="F5" s="26">
        <f>O4</f>
        <v>4.8499999999999996</v>
      </c>
      <c r="G5" s="26">
        <f t="shared" si="0"/>
        <v>28220.016</v>
      </c>
      <c r="H5" s="27">
        <v>0.05</v>
      </c>
      <c r="I5" s="26">
        <f t="shared" si="1"/>
        <v>1411.0008</v>
      </c>
      <c r="J5" s="28">
        <f t="shared" si="2"/>
        <v>29631.016800000001</v>
      </c>
      <c r="K5" s="4"/>
      <c r="N5" s="38" t="s">
        <v>6</v>
      </c>
      <c r="O5" s="39">
        <v>4000</v>
      </c>
    </row>
    <row r="6" spans="1:15" ht="15.75" thickBot="1" x14ac:dyDescent="0.3">
      <c r="A6" s="29" t="s">
        <v>6</v>
      </c>
      <c r="B6" s="30">
        <v>1</v>
      </c>
      <c r="C6" s="30" t="s">
        <v>7</v>
      </c>
      <c r="D6" s="30"/>
      <c r="E6" s="30"/>
      <c r="F6" s="31">
        <f>O5</f>
        <v>4000</v>
      </c>
      <c r="G6" s="31">
        <f t="shared" si="0"/>
        <v>4000</v>
      </c>
      <c r="H6" s="32">
        <v>0.05</v>
      </c>
      <c r="I6" s="31">
        <f t="shared" si="1"/>
        <v>200</v>
      </c>
      <c r="J6" s="33">
        <f t="shared" si="2"/>
        <v>4200</v>
      </c>
      <c r="K6" s="5"/>
      <c r="N6" s="38" t="s">
        <v>31</v>
      </c>
      <c r="O6" s="39">
        <v>0.95</v>
      </c>
    </row>
    <row r="7" spans="1:15" ht="15.75" thickBot="1" x14ac:dyDescent="0.3">
      <c r="H7" s="16"/>
      <c r="I7" s="17"/>
      <c r="J7" s="34">
        <f>SUM(J2:J6)</f>
        <v>41728.003799999999</v>
      </c>
      <c r="K7" s="18"/>
      <c r="N7" s="38" t="s">
        <v>13</v>
      </c>
      <c r="O7" s="39">
        <v>0.5</v>
      </c>
    </row>
    <row r="8" spans="1:15" ht="15.75" thickBot="1" x14ac:dyDescent="0.3">
      <c r="H8" s="16"/>
      <c r="I8" s="17"/>
      <c r="J8" s="17"/>
      <c r="K8" s="18"/>
      <c r="N8" s="38" t="s">
        <v>33</v>
      </c>
      <c r="O8" s="39">
        <v>160</v>
      </c>
    </row>
    <row r="9" spans="1:15" ht="15.75" thickBot="1" x14ac:dyDescent="0.3">
      <c r="A9" s="44" t="s">
        <v>26</v>
      </c>
      <c r="B9" s="45"/>
      <c r="C9" s="45"/>
      <c r="D9" s="45"/>
      <c r="E9" s="45"/>
      <c r="F9" s="45"/>
      <c r="G9" s="45"/>
      <c r="H9" s="45"/>
      <c r="I9" s="45"/>
      <c r="J9" s="46"/>
      <c r="K9" s="18"/>
      <c r="N9" s="38" t="s">
        <v>34</v>
      </c>
      <c r="O9" s="39">
        <v>6</v>
      </c>
    </row>
    <row r="10" spans="1:15" ht="15.75" thickBot="1" x14ac:dyDescent="0.3">
      <c r="A10" s="19" t="s">
        <v>8</v>
      </c>
      <c r="B10" s="20">
        <v>746.99</v>
      </c>
      <c r="C10" s="20" t="s">
        <v>1</v>
      </c>
      <c r="D10" s="20">
        <v>10.08</v>
      </c>
      <c r="E10" s="20">
        <f>D10*B10</f>
        <v>7529.6592000000001</v>
      </c>
      <c r="F10" s="21">
        <f>O6</f>
        <v>0.95</v>
      </c>
      <c r="G10" s="21">
        <f>F10*E10</f>
        <v>7153.1762399999998</v>
      </c>
      <c r="H10" s="22">
        <v>0.05</v>
      </c>
      <c r="I10" s="21">
        <f t="shared" si="1"/>
        <v>357.65881200000001</v>
      </c>
      <c r="J10" s="23">
        <f t="shared" si="2"/>
        <v>7510.8350519999995</v>
      </c>
      <c r="K10" s="6"/>
      <c r="N10" s="40" t="s">
        <v>19</v>
      </c>
      <c r="O10" s="41">
        <v>15593.57</v>
      </c>
    </row>
    <row r="11" spans="1:15" x14ac:dyDescent="0.25">
      <c r="A11" s="24" t="s">
        <v>22</v>
      </c>
      <c r="B11" s="25">
        <v>1585.07</v>
      </c>
      <c r="C11" s="25" t="s">
        <v>1</v>
      </c>
      <c r="D11" s="25">
        <v>9.58</v>
      </c>
      <c r="E11" s="25">
        <v>15184.97</v>
      </c>
      <c r="F11" s="26">
        <f>O6</f>
        <v>0.95</v>
      </c>
      <c r="G11" s="26">
        <f t="shared" ref="G11:G15" si="3">F11*E11</f>
        <v>14425.721499999998</v>
      </c>
      <c r="H11" s="27">
        <v>0.05</v>
      </c>
      <c r="I11" s="26">
        <f t="shared" si="1"/>
        <v>721.28607499999998</v>
      </c>
      <c r="J11" s="28">
        <f t="shared" si="2"/>
        <v>15147.007574999998</v>
      </c>
      <c r="K11" s="7"/>
    </row>
    <row r="12" spans="1:15" ht="15.75" thickBot="1" x14ac:dyDescent="0.3">
      <c r="A12" s="24" t="s">
        <v>21</v>
      </c>
      <c r="B12" s="25">
        <v>1585.07</v>
      </c>
      <c r="C12" s="25" t="s">
        <v>1</v>
      </c>
      <c r="D12" s="25">
        <v>9.58</v>
      </c>
      <c r="E12" s="25">
        <v>15184.97</v>
      </c>
      <c r="F12" s="26">
        <f>O6</f>
        <v>0.95</v>
      </c>
      <c r="G12" s="26">
        <f t="shared" si="3"/>
        <v>14425.721499999998</v>
      </c>
      <c r="H12" s="27">
        <v>0.05</v>
      </c>
      <c r="I12" s="26">
        <f t="shared" si="1"/>
        <v>721.28607499999998</v>
      </c>
      <c r="J12" s="28">
        <f t="shared" si="2"/>
        <v>15147.007574999998</v>
      </c>
      <c r="K12" s="7"/>
    </row>
    <row r="13" spans="1:15" ht="19.5" thickBot="1" x14ac:dyDescent="0.35">
      <c r="A13" s="24" t="s">
        <v>9</v>
      </c>
      <c r="B13" s="25">
        <v>48.37</v>
      </c>
      <c r="C13" s="25" t="s">
        <v>1</v>
      </c>
      <c r="D13" s="25">
        <v>21.33</v>
      </c>
      <c r="E13" s="25">
        <v>1031.73</v>
      </c>
      <c r="F13" s="26">
        <f>O6</f>
        <v>0.95</v>
      </c>
      <c r="G13" s="26">
        <f t="shared" si="3"/>
        <v>980.14350000000002</v>
      </c>
      <c r="H13" s="27">
        <v>0.05</v>
      </c>
      <c r="I13" s="26">
        <f t="shared" si="1"/>
        <v>49.007175000000004</v>
      </c>
      <c r="J13" s="28">
        <f t="shared" si="2"/>
        <v>1029.1506750000001</v>
      </c>
      <c r="K13" s="4"/>
      <c r="N13" s="42" t="s">
        <v>35</v>
      </c>
      <c r="O13" s="43">
        <f>SUM(J7,J27)</f>
        <v>127805.54455199998</v>
      </c>
    </row>
    <row r="14" spans="1:15" x14ac:dyDescent="0.25">
      <c r="A14" s="24" t="s">
        <v>10</v>
      </c>
      <c r="B14" s="25">
        <v>58.65</v>
      </c>
      <c r="C14" s="25" t="s">
        <v>1</v>
      </c>
      <c r="D14" s="25">
        <v>43.5</v>
      </c>
      <c r="E14" s="25">
        <v>2551.2800000000002</v>
      </c>
      <c r="F14" s="26">
        <f>O6</f>
        <v>0.95</v>
      </c>
      <c r="G14" s="26">
        <f t="shared" si="3"/>
        <v>2423.7159999999999</v>
      </c>
      <c r="H14" s="27">
        <v>0.05</v>
      </c>
      <c r="I14" s="26">
        <f t="shared" si="1"/>
        <v>121.1858</v>
      </c>
      <c r="J14" s="28">
        <f t="shared" si="2"/>
        <v>2544.9018000000001</v>
      </c>
      <c r="K14" s="4"/>
    </row>
    <row r="15" spans="1:15" x14ac:dyDescent="0.25">
      <c r="A15" s="24" t="s">
        <v>11</v>
      </c>
      <c r="B15" s="25">
        <v>174.22</v>
      </c>
      <c r="C15" s="25" t="s">
        <v>5</v>
      </c>
      <c r="D15" s="25">
        <v>2</v>
      </c>
      <c r="E15" s="25">
        <f>D15*B15</f>
        <v>348.44</v>
      </c>
      <c r="F15" s="26">
        <f>O7</f>
        <v>0.5</v>
      </c>
      <c r="G15" s="26">
        <f t="shared" si="3"/>
        <v>174.22</v>
      </c>
      <c r="H15" s="27">
        <v>0.05</v>
      </c>
      <c r="I15" s="26">
        <f t="shared" si="1"/>
        <v>8.7110000000000003</v>
      </c>
      <c r="J15" s="28">
        <f t="shared" si="2"/>
        <v>182.93100000000001</v>
      </c>
      <c r="K15" s="9"/>
    </row>
    <row r="16" spans="1:15" x14ac:dyDescent="0.25">
      <c r="A16" s="24" t="s">
        <v>12</v>
      </c>
      <c r="B16" s="25">
        <v>1520.75</v>
      </c>
      <c r="C16" s="25" t="s">
        <v>5</v>
      </c>
      <c r="D16" s="25">
        <v>0</v>
      </c>
      <c r="E16" s="25">
        <v>0</v>
      </c>
      <c r="F16" s="26">
        <f>O6</f>
        <v>0.95</v>
      </c>
      <c r="G16" s="26">
        <f>F16*B16</f>
        <v>1444.7124999999999</v>
      </c>
      <c r="H16" s="27">
        <v>0.05</v>
      </c>
      <c r="I16" s="26">
        <f t="shared" si="1"/>
        <v>72.235624999999999</v>
      </c>
      <c r="J16" s="28">
        <f t="shared" si="2"/>
        <v>1516.9481249999999</v>
      </c>
      <c r="K16" s="10"/>
    </row>
    <row r="17" spans="1:11" x14ac:dyDescent="0.25">
      <c r="A17" s="24" t="s">
        <v>23</v>
      </c>
      <c r="B17" s="25">
        <v>4663.7700000000004</v>
      </c>
      <c r="C17" s="25" t="s">
        <v>5</v>
      </c>
      <c r="D17" s="25">
        <v>0</v>
      </c>
      <c r="E17" s="25">
        <v>0</v>
      </c>
      <c r="F17" s="26">
        <f>O6</f>
        <v>0.95</v>
      </c>
      <c r="G17" s="26">
        <f t="shared" ref="G17:G26" si="4">F17*B17</f>
        <v>4430.5815000000002</v>
      </c>
      <c r="H17" s="27">
        <v>0.05</v>
      </c>
      <c r="I17" s="26">
        <f t="shared" si="1"/>
        <v>221.52907500000003</v>
      </c>
      <c r="J17" s="28">
        <f t="shared" si="2"/>
        <v>4652.1105750000006</v>
      </c>
      <c r="K17" s="8"/>
    </row>
    <row r="18" spans="1:11" x14ac:dyDescent="0.25">
      <c r="A18" s="24" t="s">
        <v>32</v>
      </c>
      <c r="B18" s="25">
        <v>4663.7700000000004</v>
      </c>
      <c r="C18" s="25" t="s">
        <v>5</v>
      </c>
      <c r="D18" s="25">
        <v>0</v>
      </c>
      <c r="E18" s="25">
        <v>0</v>
      </c>
      <c r="F18" s="26">
        <f>O6</f>
        <v>0.95</v>
      </c>
      <c r="G18" s="26">
        <f t="shared" si="4"/>
        <v>4430.5815000000002</v>
      </c>
      <c r="H18" s="27">
        <v>0.05</v>
      </c>
      <c r="I18" s="26">
        <f t="shared" si="1"/>
        <v>221.52907500000003</v>
      </c>
      <c r="J18" s="28">
        <f t="shared" si="2"/>
        <v>4652.1105750000006</v>
      </c>
      <c r="K18" s="8"/>
    </row>
    <row r="19" spans="1:11" x14ac:dyDescent="0.25">
      <c r="A19" s="24" t="s">
        <v>24</v>
      </c>
      <c r="B19" s="25">
        <v>65</v>
      </c>
      <c r="C19" s="25" t="s">
        <v>7</v>
      </c>
      <c r="D19" s="25"/>
      <c r="E19" s="25"/>
      <c r="F19" s="26">
        <f>O8</f>
        <v>160</v>
      </c>
      <c r="G19" s="26">
        <f t="shared" si="4"/>
        <v>10400</v>
      </c>
      <c r="H19" s="27">
        <v>0.05</v>
      </c>
      <c r="I19" s="26">
        <f t="shared" si="1"/>
        <v>520</v>
      </c>
      <c r="J19" s="28">
        <f t="shared" si="2"/>
        <v>10920</v>
      </c>
      <c r="K19" s="2"/>
    </row>
    <row r="20" spans="1:11" x14ac:dyDescent="0.25">
      <c r="A20" s="24" t="s">
        <v>25</v>
      </c>
      <c r="B20" s="25">
        <v>65</v>
      </c>
      <c r="C20" s="25" t="s">
        <v>7</v>
      </c>
      <c r="D20" s="25"/>
      <c r="E20" s="25"/>
      <c r="F20" s="26">
        <f>O8</f>
        <v>160</v>
      </c>
      <c r="G20" s="26">
        <f t="shared" si="4"/>
        <v>10400</v>
      </c>
      <c r="H20" s="27">
        <v>0.05</v>
      </c>
      <c r="I20" s="26">
        <f t="shared" si="1"/>
        <v>520</v>
      </c>
      <c r="J20" s="28">
        <f t="shared" si="2"/>
        <v>10920</v>
      </c>
      <c r="K20" s="2"/>
    </row>
    <row r="21" spans="1:11" x14ac:dyDescent="0.25">
      <c r="A21" s="24" t="s">
        <v>13</v>
      </c>
      <c r="B21" s="25">
        <v>1409.49</v>
      </c>
      <c r="C21" s="25" t="s">
        <v>5</v>
      </c>
      <c r="D21" s="25">
        <v>0</v>
      </c>
      <c r="E21" s="25">
        <v>0</v>
      </c>
      <c r="F21" s="26">
        <f>O7</f>
        <v>0.5</v>
      </c>
      <c r="G21" s="26">
        <f t="shared" si="4"/>
        <v>704.745</v>
      </c>
      <c r="H21" s="27">
        <v>0.05</v>
      </c>
      <c r="I21" s="26">
        <f t="shared" si="1"/>
        <v>35.237250000000003</v>
      </c>
      <c r="J21" s="28">
        <f t="shared" si="2"/>
        <v>739.98225000000002</v>
      </c>
      <c r="K21" s="11"/>
    </row>
    <row r="22" spans="1:11" x14ac:dyDescent="0.25">
      <c r="A22" s="24" t="s">
        <v>14</v>
      </c>
      <c r="B22" s="25">
        <v>337.95</v>
      </c>
      <c r="C22" s="25" t="s">
        <v>5</v>
      </c>
      <c r="D22" s="25">
        <v>0</v>
      </c>
      <c r="E22" s="25">
        <v>0</v>
      </c>
      <c r="F22" s="26">
        <f>O9</f>
        <v>6</v>
      </c>
      <c r="G22" s="26">
        <f t="shared" si="4"/>
        <v>2027.6999999999998</v>
      </c>
      <c r="H22" s="27">
        <v>0.05</v>
      </c>
      <c r="I22" s="26">
        <f t="shared" si="1"/>
        <v>101.38499999999999</v>
      </c>
      <c r="J22" s="28">
        <f t="shared" si="2"/>
        <v>2129.085</v>
      </c>
      <c r="K22" s="12"/>
    </row>
    <row r="23" spans="1:11" x14ac:dyDescent="0.25">
      <c r="A23" s="24" t="s">
        <v>15</v>
      </c>
      <c r="B23" s="25">
        <v>3835.13</v>
      </c>
      <c r="C23" s="25" t="s">
        <v>5</v>
      </c>
      <c r="D23" s="25">
        <v>0</v>
      </c>
      <c r="E23" s="25">
        <v>0</v>
      </c>
      <c r="F23" s="26">
        <f>O6</f>
        <v>0.95</v>
      </c>
      <c r="G23" s="26">
        <f t="shared" si="4"/>
        <v>3643.3735000000001</v>
      </c>
      <c r="H23" s="27">
        <v>0.05</v>
      </c>
      <c r="I23" s="26">
        <f t="shared" si="1"/>
        <v>182.16867500000001</v>
      </c>
      <c r="J23" s="28">
        <f t="shared" si="2"/>
        <v>3825.542175</v>
      </c>
      <c r="K23" s="13"/>
    </row>
    <row r="24" spans="1:11" x14ac:dyDescent="0.25">
      <c r="A24" s="24" t="s">
        <v>16</v>
      </c>
      <c r="B24" s="25">
        <v>29</v>
      </c>
      <c r="C24" s="25" t="s">
        <v>7</v>
      </c>
      <c r="D24" s="25"/>
      <c r="E24" s="25"/>
      <c r="F24" s="26">
        <f>O8</f>
        <v>160</v>
      </c>
      <c r="G24" s="26">
        <f t="shared" si="4"/>
        <v>4640</v>
      </c>
      <c r="H24" s="27">
        <v>0.05</v>
      </c>
      <c r="I24" s="26">
        <f t="shared" si="1"/>
        <v>232</v>
      </c>
      <c r="J24" s="28">
        <f t="shared" si="2"/>
        <v>4872</v>
      </c>
      <c r="K24" s="14"/>
    </row>
    <row r="25" spans="1:11" x14ac:dyDescent="0.25">
      <c r="A25" s="24" t="s">
        <v>17</v>
      </c>
      <c r="B25" s="25">
        <v>163.27000000000001</v>
      </c>
      <c r="C25" s="25" t="s">
        <v>5</v>
      </c>
      <c r="D25" s="25">
        <v>0</v>
      </c>
      <c r="E25" s="25">
        <v>0</v>
      </c>
      <c r="F25" s="26">
        <f>O6</f>
        <v>0.95</v>
      </c>
      <c r="G25" s="26">
        <f t="shared" si="4"/>
        <v>155.10650000000001</v>
      </c>
      <c r="H25" s="27">
        <v>0.05</v>
      </c>
      <c r="I25" s="26">
        <f t="shared" si="1"/>
        <v>7.7553250000000009</v>
      </c>
      <c r="J25" s="28">
        <f t="shared" si="2"/>
        <v>162.86182500000001</v>
      </c>
      <c r="K25" s="13"/>
    </row>
    <row r="26" spans="1:11" ht="15.75" thickBot="1" x14ac:dyDescent="0.3">
      <c r="A26" s="29" t="s">
        <v>18</v>
      </c>
      <c r="B26" s="30">
        <v>125.38</v>
      </c>
      <c r="C26" s="30" t="s">
        <v>5</v>
      </c>
      <c r="D26" s="30">
        <v>0</v>
      </c>
      <c r="E26" s="30">
        <v>0</v>
      </c>
      <c r="F26" s="31">
        <f>O6</f>
        <v>0.95</v>
      </c>
      <c r="G26" s="31">
        <f t="shared" si="4"/>
        <v>119.11099999999999</v>
      </c>
      <c r="H26" s="32">
        <v>0.05</v>
      </c>
      <c r="I26" s="31">
        <f t="shared" si="1"/>
        <v>5.9555499999999997</v>
      </c>
      <c r="J26" s="33">
        <f t="shared" si="2"/>
        <v>125.06654999999999</v>
      </c>
      <c r="K26" s="13"/>
    </row>
    <row r="27" spans="1:11" ht="15.75" thickBot="1" x14ac:dyDescent="0.3">
      <c r="J27" s="34">
        <f>SUM(J10:J26)</f>
        <v>86077.540751999986</v>
      </c>
      <c r="K27" s="35">
        <f>J27/O10</f>
        <v>5.5200663319560554</v>
      </c>
    </row>
  </sheetData>
  <mergeCells count="2">
    <mergeCell ref="A1:K1"/>
    <mergeCell ref="A9:J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Bid Pricing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riderpainting845@gmail.com</dc:creator>
  <cp:lastModifiedBy>Will Winkler | Rider Painting</cp:lastModifiedBy>
  <dcterms:created xsi:type="dcterms:W3CDTF">2024-04-01T19:59:25Z</dcterms:created>
  <dcterms:modified xsi:type="dcterms:W3CDTF">2024-05-01T17:45:25Z</dcterms:modified>
</cp:coreProperties>
</file>